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Git\config\excel\"/>
    </mc:Choice>
  </mc:AlternateContent>
  <xr:revisionPtr revIDLastSave="0" documentId="13_ncr:1_{4196CC57-2E0E-4033-8608-86E719FD86E8}" xr6:coauthVersionLast="47" xr6:coauthVersionMax="47" xr10:uidLastSave="{00000000-0000-0000-0000-000000000000}"/>
  <bookViews>
    <workbookView xWindow="41350" yWindow="4280" windowWidth="28800" windowHeight="15370" xr2:uid="{00000000-000D-0000-FFFF-FFFF00000000}"/>
  </bookViews>
  <sheets>
    <sheet name="手牌表现表|CardUI" sheetId="1" r:id="rId1"/>
  </sheets>
  <definedNames>
    <definedName name="_xlnm._FilterDatabase" localSheetId="0" hidden="1">'手牌表现表|CardUI'!$A$1:$M$389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89" i="1" l="1"/>
  <c r="I389" i="1"/>
  <c r="F389" i="1"/>
  <c r="E389" i="1"/>
  <c r="J388" i="1"/>
  <c r="I388" i="1"/>
  <c r="F388" i="1"/>
  <c r="E388" i="1"/>
  <c r="J387" i="1"/>
  <c r="I387" i="1"/>
  <c r="F387" i="1"/>
  <c r="E387" i="1"/>
  <c r="J386" i="1"/>
  <c r="I386" i="1"/>
  <c r="F386" i="1"/>
  <c r="E386" i="1"/>
  <c r="J385" i="1"/>
  <c r="I385" i="1"/>
  <c r="F385" i="1"/>
  <c r="E385" i="1"/>
  <c r="J384" i="1"/>
  <c r="I384" i="1"/>
  <c r="F384" i="1"/>
  <c r="E384" i="1"/>
  <c r="J383" i="1"/>
  <c r="I383" i="1"/>
  <c r="F383" i="1"/>
  <c r="E383" i="1"/>
  <c r="J382" i="1"/>
  <c r="I382" i="1"/>
  <c r="F382" i="1"/>
  <c r="E382" i="1"/>
  <c r="J381" i="1"/>
  <c r="I381" i="1"/>
  <c r="F381" i="1"/>
  <c r="E381" i="1"/>
  <c r="J380" i="1"/>
  <c r="I380" i="1"/>
  <c r="F380" i="1"/>
  <c r="E380" i="1"/>
  <c r="J379" i="1"/>
  <c r="I379" i="1"/>
  <c r="F379" i="1"/>
  <c r="E379" i="1"/>
  <c r="J378" i="1"/>
  <c r="I378" i="1"/>
  <c r="F378" i="1"/>
  <c r="E378" i="1"/>
  <c r="J377" i="1"/>
  <c r="I377" i="1"/>
  <c r="F377" i="1"/>
  <c r="E377" i="1"/>
  <c r="J376" i="1"/>
  <c r="I376" i="1"/>
  <c r="F376" i="1"/>
  <c r="E376" i="1"/>
  <c r="J375" i="1"/>
  <c r="I375" i="1"/>
  <c r="F375" i="1"/>
  <c r="E375" i="1"/>
  <c r="J374" i="1"/>
  <c r="I374" i="1"/>
  <c r="F374" i="1"/>
  <c r="E374" i="1"/>
  <c r="J373" i="1"/>
  <c r="I373" i="1"/>
  <c r="F373" i="1"/>
  <c r="E373" i="1"/>
  <c r="J372" i="1"/>
  <c r="I372" i="1"/>
  <c r="F372" i="1"/>
  <c r="E372" i="1"/>
  <c r="J371" i="1"/>
  <c r="I371" i="1"/>
  <c r="F371" i="1"/>
  <c r="E371" i="1"/>
  <c r="J370" i="1"/>
  <c r="I370" i="1"/>
  <c r="F370" i="1"/>
  <c r="E370" i="1"/>
  <c r="J369" i="1"/>
  <c r="I369" i="1"/>
  <c r="F369" i="1"/>
  <c r="E369" i="1"/>
  <c r="J368" i="1"/>
  <c r="I368" i="1"/>
  <c r="F368" i="1"/>
  <c r="E368" i="1"/>
  <c r="J367" i="1"/>
  <c r="I367" i="1"/>
  <c r="F367" i="1"/>
  <c r="E367" i="1"/>
  <c r="J366" i="1"/>
  <c r="I366" i="1"/>
  <c r="F366" i="1"/>
  <c r="E366" i="1"/>
  <c r="J365" i="1"/>
  <c r="I365" i="1"/>
  <c r="F365" i="1"/>
  <c r="E365" i="1"/>
  <c r="J364" i="1"/>
  <c r="I364" i="1"/>
  <c r="F364" i="1"/>
  <c r="E364" i="1"/>
  <c r="J363" i="1"/>
  <c r="I363" i="1"/>
  <c r="F363" i="1"/>
  <c r="E363" i="1"/>
  <c r="J362" i="1"/>
  <c r="I362" i="1"/>
  <c r="F362" i="1"/>
  <c r="E362" i="1"/>
  <c r="J361" i="1"/>
  <c r="I361" i="1"/>
  <c r="F361" i="1"/>
  <c r="E361" i="1"/>
  <c r="J360" i="1"/>
  <c r="I360" i="1"/>
  <c r="F360" i="1"/>
  <c r="E360" i="1"/>
  <c r="J359" i="1"/>
  <c r="I359" i="1"/>
  <c r="F359" i="1"/>
  <c r="E359" i="1"/>
  <c r="J358" i="1"/>
  <c r="I358" i="1"/>
  <c r="F358" i="1"/>
  <c r="E358" i="1"/>
  <c r="J357" i="1"/>
  <c r="I357" i="1"/>
  <c r="F357" i="1"/>
  <c r="E357" i="1"/>
  <c r="J356" i="1"/>
  <c r="I356" i="1"/>
  <c r="F356" i="1"/>
  <c r="E356" i="1"/>
  <c r="J355" i="1"/>
  <c r="I355" i="1"/>
  <c r="F355" i="1"/>
  <c r="E355" i="1"/>
  <c r="J354" i="1"/>
  <c r="I354" i="1"/>
  <c r="F354" i="1"/>
  <c r="E354" i="1"/>
  <c r="J353" i="1"/>
  <c r="I353" i="1"/>
  <c r="F353" i="1"/>
  <c r="E353" i="1"/>
  <c r="J352" i="1"/>
  <c r="I352" i="1"/>
  <c r="F352" i="1"/>
  <c r="E352" i="1"/>
  <c r="J351" i="1"/>
  <c r="I351" i="1"/>
  <c r="F351" i="1"/>
  <c r="E351" i="1"/>
  <c r="J350" i="1"/>
  <c r="I350" i="1"/>
  <c r="F350" i="1"/>
  <c r="E350" i="1"/>
  <c r="J349" i="1"/>
  <c r="I349" i="1"/>
  <c r="F349" i="1"/>
  <c r="E349" i="1"/>
  <c r="J348" i="1"/>
  <c r="I348" i="1"/>
  <c r="F348" i="1"/>
  <c r="E348" i="1"/>
  <c r="J347" i="1"/>
  <c r="I347" i="1"/>
  <c r="F347" i="1"/>
  <c r="E347" i="1"/>
  <c r="J346" i="1"/>
  <c r="I346" i="1"/>
  <c r="F346" i="1"/>
  <c r="E346" i="1"/>
  <c r="J345" i="1"/>
  <c r="I345" i="1"/>
  <c r="F345" i="1"/>
  <c r="E345" i="1"/>
  <c r="J344" i="1"/>
  <c r="I344" i="1"/>
  <c r="F344" i="1"/>
  <c r="E344" i="1"/>
  <c r="J343" i="1"/>
  <c r="I343" i="1"/>
  <c r="F343" i="1"/>
  <c r="E343" i="1"/>
  <c r="J342" i="1"/>
  <c r="I342" i="1"/>
  <c r="F342" i="1"/>
  <c r="E342" i="1"/>
  <c r="J341" i="1"/>
  <c r="I341" i="1"/>
  <c r="F341" i="1"/>
  <c r="E341" i="1"/>
  <c r="J340" i="1"/>
  <c r="I340" i="1"/>
  <c r="F340" i="1"/>
  <c r="E340" i="1"/>
  <c r="J339" i="1"/>
  <c r="I339" i="1"/>
  <c r="F339" i="1"/>
  <c r="E339" i="1"/>
  <c r="J338" i="1"/>
  <c r="I338" i="1"/>
  <c r="F338" i="1"/>
  <c r="E338" i="1"/>
  <c r="J337" i="1"/>
  <c r="I337" i="1"/>
  <c r="F337" i="1"/>
  <c r="E337" i="1"/>
  <c r="J336" i="1"/>
  <c r="I336" i="1"/>
  <c r="F336" i="1"/>
  <c r="E336" i="1"/>
  <c r="J335" i="1"/>
  <c r="I335" i="1"/>
  <c r="F335" i="1"/>
  <c r="E335" i="1"/>
  <c r="J334" i="1"/>
  <c r="I334" i="1"/>
  <c r="F334" i="1"/>
  <c r="E334" i="1"/>
  <c r="J333" i="1"/>
  <c r="I333" i="1"/>
  <c r="F333" i="1"/>
  <c r="E333" i="1"/>
  <c r="J332" i="1"/>
  <c r="I332" i="1"/>
  <c r="F332" i="1"/>
  <c r="E332" i="1"/>
  <c r="J331" i="1"/>
  <c r="I331" i="1"/>
  <c r="F331" i="1"/>
  <c r="E331" i="1"/>
  <c r="J330" i="1"/>
  <c r="I330" i="1"/>
  <c r="F330" i="1"/>
  <c r="E330" i="1"/>
  <c r="J329" i="1"/>
  <c r="I329" i="1"/>
  <c r="F329" i="1"/>
  <c r="E329" i="1"/>
  <c r="J328" i="1"/>
  <c r="I328" i="1"/>
  <c r="F328" i="1"/>
  <c r="E328" i="1"/>
  <c r="J327" i="1"/>
  <c r="I327" i="1"/>
  <c r="F327" i="1"/>
  <c r="E327" i="1"/>
  <c r="J326" i="1"/>
  <c r="I326" i="1"/>
  <c r="F326" i="1"/>
  <c r="E326" i="1"/>
  <c r="J325" i="1"/>
  <c r="I325" i="1"/>
  <c r="F325" i="1"/>
  <c r="E325" i="1"/>
  <c r="J324" i="1"/>
  <c r="I324" i="1"/>
  <c r="F324" i="1"/>
  <c r="E324" i="1"/>
  <c r="J323" i="1"/>
  <c r="I323" i="1"/>
  <c r="F323" i="1"/>
  <c r="E323" i="1"/>
  <c r="J322" i="1"/>
  <c r="I322" i="1"/>
  <c r="F322" i="1"/>
  <c r="E322" i="1"/>
  <c r="J321" i="1"/>
  <c r="I321" i="1"/>
  <c r="F321" i="1"/>
  <c r="E321" i="1"/>
  <c r="J320" i="1"/>
  <c r="I320" i="1"/>
  <c r="F320" i="1"/>
  <c r="E320" i="1"/>
  <c r="J319" i="1"/>
  <c r="I319" i="1"/>
  <c r="F319" i="1"/>
  <c r="E319" i="1"/>
  <c r="J318" i="1"/>
  <c r="I318" i="1"/>
  <c r="F318" i="1"/>
  <c r="E318" i="1"/>
  <c r="J317" i="1"/>
  <c r="I317" i="1"/>
  <c r="F317" i="1"/>
  <c r="E317" i="1"/>
  <c r="J316" i="1"/>
  <c r="I316" i="1"/>
  <c r="F316" i="1"/>
  <c r="E316" i="1"/>
  <c r="J315" i="1"/>
  <c r="I315" i="1"/>
  <c r="F315" i="1"/>
  <c r="E315" i="1"/>
  <c r="J314" i="1"/>
  <c r="I314" i="1"/>
  <c r="F314" i="1"/>
  <c r="E314" i="1"/>
  <c r="J313" i="1"/>
  <c r="I313" i="1"/>
  <c r="F313" i="1"/>
  <c r="E313" i="1"/>
  <c r="J312" i="1"/>
  <c r="I312" i="1"/>
  <c r="F312" i="1"/>
  <c r="E312" i="1"/>
  <c r="J311" i="1"/>
  <c r="I311" i="1"/>
  <c r="F311" i="1"/>
  <c r="E311" i="1"/>
  <c r="J310" i="1"/>
  <c r="I310" i="1"/>
  <c r="F310" i="1"/>
  <c r="E310" i="1"/>
  <c r="J309" i="1"/>
  <c r="I309" i="1"/>
  <c r="F309" i="1"/>
  <c r="E309" i="1"/>
  <c r="J308" i="1"/>
  <c r="I308" i="1"/>
  <c r="F308" i="1"/>
  <c r="E308" i="1"/>
  <c r="J307" i="1"/>
  <c r="I307" i="1"/>
  <c r="F307" i="1"/>
  <c r="E307" i="1"/>
  <c r="J306" i="1"/>
  <c r="I306" i="1"/>
  <c r="F306" i="1"/>
  <c r="E306" i="1"/>
  <c r="J305" i="1"/>
  <c r="I305" i="1"/>
  <c r="F305" i="1"/>
  <c r="E305" i="1"/>
  <c r="J304" i="1"/>
  <c r="I304" i="1"/>
  <c r="F304" i="1"/>
  <c r="E304" i="1"/>
  <c r="J303" i="1"/>
  <c r="I303" i="1"/>
  <c r="F303" i="1"/>
  <c r="E303" i="1"/>
  <c r="J302" i="1"/>
  <c r="I302" i="1"/>
  <c r="F302" i="1"/>
  <c r="E302" i="1"/>
  <c r="J301" i="1"/>
  <c r="I301" i="1"/>
  <c r="F301" i="1"/>
  <c r="E301" i="1"/>
  <c r="J300" i="1"/>
  <c r="I300" i="1"/>
  <c r="F300" i="1"/>
  <c r="E300" i="1"/>
  <c r="J299" i="1"/>
  <c r="I299" i="1"/>
  <c r="F299" i="1"/>
  <c r="E299" i="1"/>
  <c r="J298" i="1"/>
  <c r="I298" i="1"/>
  <c r="F298" i="1"/>
  <c r="E298" i="1"/>
  <c r="J297" i="1"/>
  <c r="I297" i="1"/>
  <c r="F297" i="1"/>
  <c r="E297" i="1"/>
  <c r="J296" i="1"/>
  <c r="I296" i="1"/>
  <c r="F296" i="1"/>
  <c r="E296" i="1"/>
  <c r="J295" i="1"/>
  <c r="I295" i="1"/>
  <c r="F295" i="1"/>
  <c r="E295" i="1"/>
  <c r="J294" i="1"/>
  <c r="I294" i="1"/>
  <c r="F294" i="1"/>
  <c r="E294" i="1"/>
  <c r="J293" i="1"/>
  <c r="I293" i="1"/>
  <c r="F293" i="1"/>
  <c r="E293" i="1"/>
  <c r="J292" i="1"/>
  <c r="I292" i="1"/>
  <c r="F292" i="1"/>
  <c r="E292" i="1"/>
  <c r="J291" i="1"/>
  <c r="I291" i="1"/>
  <c r="F291" i="1"/>
  <c r="E291" i="1"/>
  <c r="J290" i="1"/>
  <c r="I290" i="1"/>
  <c r="F290" i="1"/>
  <c r="E290" i="1"/>
  <c r="J289" i="1"/>
  <c r="I289" i="1"/>
  <c r="F289" i="1"/>
  <c r="E289" i="1"/>
  <c r="J288" i="1"/>
  <c r="I288" i="1"/>
  <c r="F288" i="1"/>
  <c r="E288" i="1"/>
  <c r="J287" i="1"/>
  <c r="I287" i="1"/>
  <c r="F287" i="1"/>
  <c r="E287" i="1"/>
  <c r="J286" i="1"/>
  <c r="I286" i="1"/>
  <c r="F286" i="1"/>
  <c r="E286" i="1"/>
  <c r="J285" i="1"/>
  <c r="I285" i="1"/>
  <c r="F285" i="1"/>
  <c r="E285" i="1"/>
  <c r="J284" i="1"/>
  <c r="I284" i="1"/>
  <c r="F284" i="1"/>
  <c r="E284" i="1"/>
  <c r="J283" i="1"/>
  <c r="I283" i="1"/>
  <c r="F283" i="1"/>
  <c r="E283" i="1"/>
  <c r="J282" i="1"/>
  <c r="I282" i="1"/>
  <c r="F282" i="1"/>
  <c r="E282" i="1"/>
  <c r="J281" i="1"/>
  <c r="I281" i="1"/>
  <c r="F281" i="1"/>
  <c r="E281" i="1"/>
  <c r="J280" i="1"/>
  <c r="I280" i="1"/>
  <c r="F280" i="1"/>
  <c r="E280" i="1"/>
  <c r="J279" i="1"/>
  <c r="I279" i="1"/>
  <c r="F279" i="1"/>
  <c r="E279" i="1"/>
  <c r="J278" i="1"/>
  <c r="I278" i="1"/>
  <c r="F278" i="1"/>
  <c r="E278" i="1"/>
  <c r="J277" i="1"/>
  <c r="I277" i="1"/>
  <c r="F277" i="1"/>
  <c r="E277" i="1"/>
  <c r="J276" i="1"/>
  <c r="I276" i="1"/>
  <c r="F276" i="1"/>
  <c r="E276" i="1"/>
  <c r="J275" i="1"/>
  <c r="I275" i="1"/>
  <c r="F275" i="1"/>
  <c r="E275" i="1"/>
  <c r="J274" i="1"/>
  <c r="I274" i="1"/>
  <c r="F274" i="1"/>
  <c r="E274" i="1"/>
  <c r="J273" i="1"/>
  <c r="I273" i="1"/>
  <c r="F273" i="1"/>
  <c r="E273" i="1"/>
  <c r="J272" i="1"/>
  <c r="I272" i="1"/>
  <c r="F272" i="1"/>
  <c r="E272" i="1"/>
  <c r="J271" i="1"/>
  <c r="I271" i="1"/>
  <c r="F271" i="1"/>
  <c r="E271" i="1"/>
  <c r="J270" i="1"/>
  <c r="I270" i="1"/>
  <c r="F270" i="1"/>
  <c r="E270" i="1"/>
  <c r="J269" i="1"/>
  <c r="I269" i="1"/>
  <c r="F269" i="1"/>
  <c r="E269" i="1"/>
  <c r="J268" i="1"/>
  <c r="I268" i="1"/>
  <c r="F268" i="1"/>
  <c r="E268" i="1"/>
  <c r="J267" i="1"/>
  <c r="I267" i="1"/>
  <c r="F267" i="1"/>
  <c r="E267" i="1"/>
  <c r="J266" i="1"/>
  <c r="I266" i="1"/>
  <c r="F266" i="1"/>
  <c r="E266" i="1"/>
  <c r="J265" i="1"/>
  <c r="I265" i="1"/>
  <c r="F265" i="1"/>
  <c r="E265" i="1"/>
  <c r="J264" i="1"/>
  <c r="I264" i="1"/>
  <c r="F264" i="1"/>
  <c r="E264" i="1"/>
  <c r="J263" i="1"/>
  <c r="I263" i="1"/>
  <c r="F263" i="1"/>
  <c r="E263" i="1"/>
  <c r="J262" i="1"/>
  <c r="I262" i="1"/>
  <c r="F262" i="1"/>
  <c r="E262" i="1"/>
  <c r="J261" i="1"/>
  <c r="I261" i="1"/>
  <c r="F261" i="1"/>
  <c r="E261" i="1"/>
  <c r="J260" i="1"/>
  <c r="I260" i="1"/>
  <c r="F260" i="1"/>
  <c r="E260" i="1"/>
  <c r="J259" i="1"/>
  <c r="I259" i="1"/>
  <c r="F259" i="1"/>
  <c r="E259" i="1"/>
  <c r="J258" i="1"/>
  <c r="I258" i="1"/>
  <c r="F258" i="1"/>
  <c r="E258" i="1"/>
  <c r="J257" i="1"/>
  <c r="I257" i="1"/>
  <c r="F257" i="1"/>
  <c r="E257" i="1"/>
  <c r="J256" i="1"/>
  <c r="I256" i="1"/>
  <c r="F256" i="1"/>
  <c r="E256" i="1"/>
  <c r="J255" i="1"/>
  <c r="I255" i="1"/>
  <c r="F255" i="1"/>
  <c r="E255" i="1"/>
  <c r="J254" i="1"/>
  <c r="I254" i="1"/>
  <c r="F254" i="1"/>
  <c r="E254" i="1"/>
  <c r="J253" i="1"/>
  <c r="I253" i="1"/>
  <c r="F253" i="1"/>
  <c r="E253" i="1"/>
  <c r="J252" i="1"/>
  <c r="I252" i="1"/>
  <c r="F252" i="1"/>
  <c r="E252" i="1"/>
  <c r="J251" i="1"/>
  <c r="I251" i="1"/>
  <c r="F251" i="1"/>
  <c r="E251" i="1"/>
  <c r="J250" i="1"/>
  <c r="I250" i="1"/>
  <c r="F250" i="1"/>
  <c r="E250" i="1"/>
  <c r="J249" i="1"/>
  <c r="I249" i="1"/>
  <c r="F249" i="1"/>
  <c r="E249" i="1"/>
  <c r="J248" i="1"/>
  <c r="I248" i="1"/>
  <c r="F248" i="1"/>
  <c r="E248" i="1"/>
  <c r="J247" i="1"/>
  <c r="I247" i="1"/>
  <c r="F247" i="1"/>
  <c r="E247" i="1"/>
  <c r="J246" i="1"/>
  <c r="I246" i="1"/>
  <c r="F246" i="1"/>
  <c r="E246" i="1"/>
  <c r="J245" i="1"/>
  <c r="I245" i="1"/>
  <c r="F245" i="1"/>
  <c r="E245" i="1"/>
  <c r="J244" i="1"/>
  <c r="I244" i="1"/>
  <c r="F244" i="1"/>
  <c r="E244" i="1"/>
  <c r="J243" i="1"/>
  <c r="I243" i="1"/>
  <c r="F243" i="1"/>
  <c r="E243" i="1"/>
  <c r="J242" i="1"/>
  <c r="I242" i="1"/>
  <c r="F242" i="1"/>
  <c r="E242" i="1"/>
  <c r="J241" i="1"/>
  <c r="I241" i="1"/>
  <c r="F241" i="1"/>
  <c r="E241" i="1"/>
  <c r="J240" i="1"/>
  <c r="I240" i="1"/>
  <c r="F240" i="1"/>
  <c r="E240" i="1"/>
  <c r="J239" i="1"/>
  <c r="I239" i="1"/>
  <c r="F239" i="1"/>
  <c r="E239" i="1"/>
  <c r="J238" i="1"/>
  <c r="I238" i="1"/>
  <c r="F238" i="1"/>
  <c r="E238" i="1"/>
  <c r="J237" i="1"/>
  <c r="I237" i="1"/>
  <c r="F237" i="1"/>
  <c r="E237" i="1"/>
  <c r="J236" i="1"/>
  <c r="I236" i="1"/>
  <c r="F236" i="1"/>
  <c r="E236" i="1"/>
  <c r="J235" i="1"/>
  <c r="I235" i="1"/>
  <c r="F235" i="1"/>
  <c r="E235" i="1"/>
  <c r="J234" i="1"/>
  <c r="I234" i="1"/>
  <c r="F234" i="1"/>
  <c r="E234" i="1"/>
  <c r="J233" i="1"/>
  <c r="I233" i="1"/>
  <c r="F233" i="1"/>
  <c r="E233" i="1"/>
  <c r="J232" i="1"/>
  <c r="I232" i="1"/>
  <c r="F232" i="1"/>
  <c r="E232" i="1"/>
  <c r="J231" i="1"/>
  <c r="I231" i="1"/>
  <c r="F231" i="1"/>
  <c r="E231" i="1"/>
  <c r="J230" i="1"/>
  <c r="I230" i="1"/>
  <c r="F230" i="1"/>
  <c r="E230" i="1"/>
  <c r="J229" i="1"/>
  <c r="I229" i="1"/>
  <c r="F229" i="1"/>
  <c r="E229" i="1"/>
  <c r="I228" i="1"/>
  <c r="F228" i="1"/>
  <c r="E228" i="1"/>
  <c r="I201" i="1"/>
  <c r="F201" i="1"/>
  <c r="E201" i="1"/>
  <c r="I200" i="1"/>
  <c r="F200" i="1"/>
  <c r="E200" i="1"/>
  <c r="I199" i="1"/>
  <c r="F199" i="1"/>
  <c r="E199" i="1"/>
  <c r="I198" i="1"/>
  <c r="F198" i="1"/>
  <c r="E198" i="1"/>
  <c r="I197" i="1"/>
  <c r="F197" i="1"/>
  <c r="E197" i="1"/>
  <c r="I196" i="1"/>
  <c r="F196" i="1"/>
  <c r="E196" i="1"/>
  <c r="I195" i="1"/>
  <c r="F195" i="1"/>
  <c r="E195" i="1"/>
  <c r="I194" i="1"/>
  <c r="F194" i="1"/>
  <c r="E194" i="1"/>
  <c r="I193" i="1"/>
  <c r="F193" i="1"/>
  <c r="E193" i="1"/>
  <c r="I192" i="1"/>
  <c r="F192" i="1"/>
  <c r="E192" i="1"/>
  <c r="I191" i="1"/>
  <c r="F191" i="1"/>
  <c r="E191" i="1"/>
  <c r="I190" i="1"/>
  <c r="F190" i="1"/>
  <c r="E190" i="1"/>
  <c r="I189" i="1"/>
  <c r="F189" i="1"/>
  <c r="E189" i="1"/>
  <c r="I188" i="1"/>
  <c r="F188" i="1"/>
  <c r="E188" i="1"/>
  <c r="I187" i="1"/>
  <c r="F187" i="1"/>
  <c r="E187" i="1"/>
  <c r="I186" i="1"/>
  <c r="F186" i="1"/>
  <c r="E186" i="1"/>
  <c r="I185" i="1"/>
  <c r="F185" i="1"/>
  <c r="E185" i="1"/>
  <c r="I184" i="1"/>
  <c r="F184" i="1"/>
  <c r="E184" i="1"/>
  <c r="I183" i="1"/>
  <c r="F183" i="1"/>
  <c r="E183" i="1"/>
  <c r="J182" i="1"/>
  <c r="I182" i="1"/>
  <c r="G182" i="1"/>
  <c r="F182" i="1"/>
  <c r="E182" i="1"/>
  <c r="J181" i="1"/>
  <c r="I181" i="1"/>
  <c r="G181" i="1"/>
  <c r="F181" i="1"/>
  <c r="E181" i="1"/>
  <c r="J180" i="1"/>
  <c r="I180" i="1"/>
  <c r="G180" i="1"/>
  <c r="F180" i="1"/>
  <c r="E180" i="1"/>
  <c r="J179" i="1"/>
  <c r="I179" i="1"/>
  <c r="G179" i="1"/>
  <c r="F179" i="1"/>
  <c r="E179" i="1"/>
  <c r="J178" i="1"/>
  <c r="I178" i="1"/>
  <c r="G178" i="1"/>
  <c r="F178" i="1"/>
  <c r="E178" i="1"/>
  <c r="J177" i="1"/>
  <c r="I177" i="1"/>
  <c r="G177" i="1"/>
  <c r="F177" i="1"/>
  <c r="E177" i="1"/>
  <c r="J176" i="1"/>
  <c r="I176" i="1"/>
  <c r="G176" i="1"/>
  <c r="F176" i="1"/>
  <c r="E176" i="1"/>
  <c r="J175" i="1"/>
  <c r="I175" i="1"/>
  <c r="G175" i="1"/>
  <c r="F175" i="1"/>
  <c r="E175" i="1"/>
  <c r="J174" i="1"/>
  <c r="I174" i="1"/>
  <c r="G174" i="1"/>
  <c r="F174" i="1"/>
  <c r="E174" i="1"/>
  <c r="J173" i="1"/>
  <c r="I173" i="1"/>
  <c r="G173" i="1"/>
  <c r="F173" i="1"/>
  <c r="E173" i="1"/>
  <c r="J172" i="1"/>
  <c r="I172" i="1"/>
  <c r="G172" i="1"/>
  <c r="F172" i="1"/>
  <c r="E172" i="1"/>
  <c r="J171" i="1"/>
  <c r="I171" i="1"/>
  <c r="G171" i="1"/>
  <c r="F171" i="1"/>
  <c r="E171" i="1"/>
  <c r="J170" i="1"/>
  <c r="I170" i="1"/>
  <c r="G170" i="1"/>
  <c r="F170" i="1"/>
  <c r="E170" i="1"/>
  <c r="J169" i="1"/>
  <c r="I169" i="1"/>
  <c r="G169" i="1"/>
  <c r="F169" i="1"/>
  <c r="E169" i="1"/>
  <c r="J168" i="1"/>
  <c r="I168" i="1"/>
  <c r="G168" i="1"/>
  <c r="F168" i="1"/>
  <c r="E168" i="1"/>
  <c r="J167" i="1"/>
  <c r="I167" i="1"/>
  <c r="G167" i="1"/>
  <c r="F167" i="1"/>
  <c r="E167" i="1"/>
  <c r="J166" i="1"/>
  <c r="I166" i="1"/>
  <c r="F166" i="1"/>
  <c r="E166" i="1"/>
  <c r="J165" i="1"/>
  <c r="I165" i="1"/>
  <c r="F165" i="1"/>
  <c r="E165" i="1"/>
  <c r="J157" i="1"/>
  <c r="I157" i="1"/>
  <c r="G157" i="1"/>
  <c r="F157" i="1"/>
  <c r="E157" i="1"/>
  <c r="J153" i="1"/>
  <c r="I153" i="1"/>
  <c r="G153" i="1"/>
  <c r="F153" i="1"/>
  <c r="E153" i="1"/>
  <c r="J151" i="1"/>
  <c r="I151" i="1"/>
  <c r="G151" i="1"/>
  <c r="F151" i="1"/>
  <c r="E151" i="1"/>
  <c r="J149" i="1"/>
  <c r="I149" i="1"/>
  <c r="G149" i="1"/>
  <c r="F149" i="1"/>
  <c r="E149" i="1"/>
  <c r="J148" i="1"/>
  <c r="I148" i="1"/>
  <c r="G148" i="1"/>
  <c r="F148" i="1"/>
  <c r="E148" i="1"/>
  <c r="J145" i="1"/>
  <c r="I145" i="1"/>
  <c r="G145" i="1"/>
  <c r="F145" i="1"/>
  <c r="E145" i="1"/>
  <c r="J143" i="1"/>
  <c r="I143" i="1"/>
  <c r="G143" i="1"/>
  <c r="F143" i="1"/>
  <c r="E143" i="1"/>
  <c r="J138" i="1"/>
  <c r="I138" i="1"/>
  <c r="G138" i="1"/>
  <c r="F138" i="1"/>
  <c r="E138" i="1"/>
  <c r="J137" i="1"/>
  <c r="I137" i="1"/>
  <c r="G137" i="1"/>
  <c r="F137" i="1"/>
  <c r="E137" i="1"/>
  <c r="J135" i="1"/>
  <c r="I135" i="1"/>
  <c r="G135" i="1"/>
  <c r="F135" i="1"/>
  <c r="E135" i="1"/>
  <c r="J129" i="1"/>
  <c r="I129" i="1"/>
  <c r="G129" i="1"/>
  <c r="F129" i="1"/>
  <c r="E129" i="1"/>
  <c r="J127" i="1"/>
  <c r="I127" i="1"/>
  <c r="G127" i="1"/>
  <c r="F127" i="1"/>
  <c r="E127" i="1"/>
  <c r="J125" i="1"/>
  <c r="I125" i="1"/>
  <c r="G125" i="1"/>
  <c r="F125" i="1"/>
  <c r="E125" i="1"/>
  <c r="J124" i="1"/>
  <c r="I124" i="1"/>
  <c r="G124" i="1"/>
  <c r="F124" i="1"/>
  <c r="E124" i="1"/>
  <c r="J123" i="1"/>
  <c r="I123" i="1"/>
  <c r="G123" i="1"/>
  <c r="F123" i="1"/>
  <c r="E123" i="1"/>
  <c r="J122" i="1"/>
  <c r="I122" i="1"/>
  <c r="G122" i="1"/>
  <c r="F122" i="1"/>
  <c r="E122" i="1"/>
  <c r="J121" i="1"/>
  <c r="I121" i="1"/>
  <c r="G121" i="1"/>
  <c r="F121" i="1"/>
  <c r="E121" i="1"/>
  <c r="J120" i="1"/>
  <c r="I120" i="1"/>
  <c r="G120" i="1"/>
  <c r="F120" i="1"/>
  <c r="E120" i="1"/>
  <c r="J119" i="1"/>
  <c r="I119" i="1"/>
  <c r="G119" i="1"/>
  <c r="F119" i="1"/>
  <c r="E119" i="1"/>
  <c r="J118" i="1"/>
  <c r="I118" i="1"/>
  <c r="G118" i="1"/>
  <c r="F118" i="1"/>
  <c r="E118" i="1"/>
  <c r="J117" i="1"/>
  <c r="I117" i="1"/>
  <c r="G117" i="1"/>
  <c r="F117" i="1"/>
  <c r="E117" i="1"/>
  <c r="J116" i="1"/>
  <c r="I116" i="1"/>
  <c r="G116" i="1"/>
  <c r="F116" i="1"/>
  <c r="E116" i="1"/>
  <c r="J115" i="1"/>
  <c r="I115" i="1"/>
  <c r="G115" i="1"/>
  <c r="F115" i="1"/>
  <c r="E115" i="1"/>
  <c r="J114" i="1"/>
  <c r="I114" i="1"/>
  <c r="G114" i="1"/>
  <c r="F114" i="1"/>
  <c r="E114" i="1"/>
  <c r="J113" i="1"/>
  <c r="I113" i="1"/>
  <c r="G113" i="1"/>
  <c r="F113" i="1"/>
  <c r="E113" i="1"/>
  <c r="J112" i="1"/>
  <c r="I112" i="1"/>
  <c r="G112" i="1"/>
  <c r="F112" i="1"/>
  <c r="E112" i="1"/>
  <c r="J111" i="1"/>
  <c r="I111" i="1"/>
  <c r="G111" i="1"/>
  <c r="F111" i="1"/>
  <c r="E111" i="1"/>
  <c r="J110" i="1"/>
  <c r="I110" i="1"/>
  <c r="G110" i="1"/>
  <c r="F110" i="1"/>
  <c r="E110" i="1"/>
  <c r="J109" i="1"/>
  <c r="I109" i="1"/>
  <c r="G109" i="1"/>
  <c r="F109" i="1"/>
  <c r="E109" i="1"/>
  <c r="J108" i="1"/>
  <c r="I108" i="1"/>
  <c r="G108" i="1"/>
  <c r="F108" i="1"/>
  <c r="E108" i="1"/>
  <c r="J107" i="1"/>
  <c r="I107" i="1"/>
  <c r="G107" i="1"/>
  <c r="F107" i="1"/>
  <c r="E107" i="1"/>
  <c r="J106" i="1"/>
  <c r="I106" i="1"/>
  <c r="G106" i="1"/>
  <c r="F106" i="1"/>
  <c r="E106" i="1"/>
  <c r="J105" i="1"/>
  <c r="I105" i="1"/>
  <c r="G105" i="1"/>
  <c r="F105" i="1"/>
  <c r="E105" i="1"/>
  <c r="J104" i="1"/>
  <c r="I104" i="1"/>
  <c r="G104" i="1"/>
  <c r="F104" i="1"/>
  <c r="E104" i="1"/>
  <c r="J103" i="1"/>
  <c r="I103" i="1"/>
  <c r="G103" i="1"/>
  <c r="F103" i="1"/>
  <c r="E103" i="1"/>
  <c r="J102" i="1"/>
  <c r="I102" i="1"/>
  <c r="G102" i="1"/>
  <c r="F102" i="1"/>
  <c r="E102" i="1"/>
  <c r="J101" i="1"/>
  <c r="I101" i="1"/>
  <c r="G101" i="1"/>
  <c r="F101" i="1"/>
  <c r="E101" i="1"/>
  <c r="J100" i="1"/>
  <c r="I100" i="1"/>
  <c r="G100" i="1"/>
  <c r="F100" i="1"/>
  <c r="E100" i="1"/>
  <c r="J99" i="1"/>
  <c r="I99" i="1"/>
  <c r="G99" i="1"/>
  <c r="F99" i="1"/>
  <c r="E99" i="1"/>
  <c r="J98" i="1"/>
  <c r="I98" i="1"/>
  <c r="G98" i="1"/>
  <c r="F98" i="1"/>
  <c r="E98" i="1"/>
  <c r="J97" i="1"/>
  <c r="I97" i="1"/>
  <c r="G97" i="1"/>
  <c r="F97" i="1"/>
  <c r="E97" i="1"/>
  <c r="J96" i="1"/>
  <c r="I96" i="1"/>
  <c r="G96" i="1"/>
  <c r="F96" i="1"/>
  <c r="E96" i="1"/>
  <c r="J95" i="1"/>
  <c r="I95" i="1"/>
  <c r="G95" i="1"/>
  <c r="F95" i="1"/>
  <c r="E95" i="1"/>
  <c r="J94" i="1"/>
  <c r="I94" i="1"/>
  <c r="G94" i="1"/>
  <c r="F94" i="1"/>
  <c r="E94" i="1"/>
  <c r="J93" i="1"/>
  <c r="I93" i="1"/>
  <c r="G93" i="1"/>
  <c r="F93" i="1"/>
  <c r="E93" i="1"/>
  <c r="J92" i="1"/>
  <c r="I92" i="1"/>
  <c r="G92" i="1"/>
  <c r="F92" i="1"/>
  <c r="E92" i="1"/>
  <c r="J91" i="1"/>
  <c r="I91" i="1"/>
  <c r="G91" i="1"/>
  <c r="F91" i="1"/>
  <c r="E91" i="1"/>
  <c r="J90" i="1"/>
  <c r="I90" i="1"/>
  <c r="G90" i="1"/>
  <c r="F90" i="1"/>
  <c r="E90" i="1"/>
  <c r="J89" i="1"/>
  <c r="I89" i="1"/>
  <c r="G89" i="1"/>
  <c r="F89" i="1"/>
  <c r="E89" i="1"/>
  <c r="J88" i="1"/>
  <c r="I88" i="1"/>
  <c r="G88" i="1"/>
  <c r="F88" i="1"/>
  <c r="E88" i="1"/>
  <c r="J87" i="1"/>
  <c r="I87" i="1"/>
  <c r="G87" i="1"/>
  <c r="F87" i="1"/>
  <c r="E87" i="1"/>
  <c r="J86" i="1"/>
  <c r="I86" i="1"/>
  <c r="G86" i="1"/>
  <c r="F86" i="1"/>
  <c r="E86" i="1"/>
  <c r="J85" i="1"/>
  <c r="I85" i="1"/>
  <c r="G85" i="1"/>
  <c r="F85" i="1"/>
  <c r="E85" i="1"/>
  <c r="J84" i="1"/>
  <c r="I84" i="1"/>
  <c r="G84" i="1"/>
  <c r="F84" i="1"/>
  <c r="E84" i="1"/>
  <c r="J83" i="1"/>
  <c r="I83" i="1"/>
  <c r="G83" i="1"/>
  <c r="F83" i="1"/>
  <c r="E83" i="1"/>
  <c r="J82" i="1"/>
  <c r="I82" i="1"/>
  <c r="G82" i="1"/>
  <c r="F82" i="1"/>
  <c r="E82" i="1"/>
  <c r="J81" i="1"/>
  <c r="I81" i="1"/>
  <c r="G81" i="1"/>
  <c r="F81" i="1"/>
  <c r="E81" i="1"/>
  <c r="J80" i="1"/>
  <c r="I80" i="1"/>
  <c r="G80" i="1"/>
  <c r="F80" i="1"/>
  <c r="E80" i="1"/>
  <c r="J79" i="1"/>
  <c r="I79" i="1"/>
  <c r="G79" i="1"/>
  <c r="F79" i="1"/>
  <c r="E79" i="1"/>
  <c r="J78" i="1"/>
  <c r="I78" i="1"/>
  <c r="G78" i="1"/>
  <c r="F78" i="1"/>
  <c r="E78" i="1"/>
  <c r="J77" i="1"/>
  <c r="I77" i="1"/>
  <c r="G77" i="1"/>
  <c r="F77" i="1"/>
  <c r="E77" i="1"/>
  <c r="J76" i="1"/>
  <c r="I76" i="1"/>
  <c r="G76" i="1"/>
  <c r="F76" i="1"/>
  <c r="E76" i="1"/>
  <c r="J75" i="1"/>
  <c r="I75" i="1"/>
  <c r="G75" i="1"/>
  <c r="F75" i="1"/>
  <c r="E75" i="1"/>
  <c r="J74" i="1"/>
  <c r="I74" i="1"/>
  <c r="G74" i="1"/>
  <c r="F74" i="1"/>
  <c r="E74" i="1"/>
  <c r="J73" i="1"/>
  <c r="I73" i="1"/>
  <c r="G73" i="1"/>
  <c r="F73" i="1"/>
  <c r="E73" i="1"/>
  <c r="J72" i="1"/>
  <c r="I72" i="1"/>
  <c r="G72" i="1"/>
  <c r="F72" i="1"/>
  <c r="E72" i="1"/>
  <c r="J71" i="1"/>
  <c r="I71" i="1"/>
  <c r="G71" i="1"/>
  <c r="F71" i="1"/>
  <c r="E71" i="1"/>
  <c r="J70" i="1"/>
  <c r="I70" i="1"/>
  <c r="G70" i="1"/>
  <c r="F70" i="1"/>
  <c r="E70" i="1"/>
  <c r="J69" i="1"/>
  <c r="I69" i="1"/>
  <c r="G69" i="1"/>
  <c r="F69" i="1"/>
  <c r="E69" i="1"/>
  <c r="J68" i="1"/>
  <c r="I68" i="1"/>
  <c r="G68" i="1"/>
  <c r="F68" i="1"/>
  <c r="E68" i="1"/>
  <c r="J67" i="1"/>
  <c r="I67" i="1"/>
  <c r="G67" i="1"/>
  <c r="F67" i="1"/>
  <c r="E67" i="1"/>
  <c r="J66" i="1"/>
  <c r="I66" i="1"/>
  <c r="G66" i="1"/>
  <c r="F66" i="1"/>
  <c r="E66" i="1"/>
  <c r="J65" i="1"/>
  <c r="I65" i="1"/>
  <c r="G65" i="1"/>
  <c r="F65" i="1"/>
  <c r="E65" i="1"/>
  <c r="J64" i="1"/>
  <c r="I64" i="1"/>
  <c r="G64" i="1"/>
  <c r="F64" i="1"/>
  <c r="E64" i="1"/>
  <c r="J63" i="1"/>
  <c r="I63" i="1"/>
  <c r="G63" i="1"/>
  <c r="F63" i="1"/>
  <c r="E63" i="1"/>
  <c r="J62" i="1"/>
  <c r="I62" i="1"/>
  <c r="G62" i="1"/>
  <c r="F62" i="1"/>
  <c r="E62" i="1"/>
  <c r="J61" i="1"/>
  <c r="I61" i="1"/>
  <c r="G61" i="1"/>
  <c r="F61" i="1"/>
  <c r="E61" i="1"/>
  <c r="J60" i="1"/>
  <c r="I60" i="1"/>
  <c r="G60" i="1"/>
  <c r="F60" i="1"/>
  <c r="E60" i="1"/>
  <c r="J59" i="1"/>
  <c r="I59" i="1"/>
  <c r="G59" i="1"/>
  <c r="F59" i="1"/>
  <c r="E59" i="1"/>
  <c r="J58" i="1"/>
  <c r="I58" i="1"/>
  <c r="G58" i="1"/>
  <c r="F58" i="1"/>
  <c r="E58" i="1"/>
  <c r="J57" i="1"/>
  <c r="I57" i="1"/>
  <c r="G57" i="1"/>
  <c r="F57" i="1"/>
  <c r="E57" i="1"/>
  <c r="J56" i="1"/>
  <c r="I56" i="1"/>
  <c r="G56" i="1"/>
  <c r="F56" i="1"/>
  <c r="E56" i="1"/>
  <c r="J55" i="1"/>
  <c r="I55" i="1"/>
  <c r="G55" i="1"/>
  <c r="F55" i="1"/>
  <c r="E55" i="1"/>
  <c r="J54" i="1"/>
  <c r="I54" i="1"/>
  <c r="G54" i="1"/>
  <c r="F54" i="1"/>
  <c r="E54" i="1"/>
  <c r="J53" i="1"/>
  <c r="I53" i="1"/>
  <c r="G53" i="1"/>
  <c r="F53" i="1"/>
  <c r="E53" i="1"/>
  <c r="J52" i="1"/>
  <c r="I52" i="1"/>
  <c r="G52" i="1"/>
  <c r="F52" i="1"/>
  <c r="E52" i="1"/>
  <c r="J51" i="1"/>
  <c r="I51" i="1"/>
  <c r="G51" i="1"/>
  <c r="F51" i="1"/>
  <c r="E51" i="1"/>
  <c r="J50" i="1"/>
  <c r="I50" i="1"/>
  <c r="G50" i="1"/>
  <c r="F50" i="1"/>
  <c r="E50" i="1"/>
  <c r="J49" i="1"/>
  <c r="I49" i="1"/>
  <c r="G49" i="1"/>
  <c r="F49" i="1"/>
  <c r="E49" i="1"/>
  <c r="J48" i="1"/>
  <c r="I48" i="1"/>
  <c r="G48" i="1"/>
  <c r="F48" i="1"/>
  <c r="E48" i="1"/>
  <c r="J47" i="1"/>
  <c r="I47" i="1"/>
  <c r="G47" i="1"/>
  <c r="F47" i="1"/>
  <c r="E47" i="1"/>
  <c r="J46" i="1"/>
  <c r="I46" i="1"/>
  <c r="G46" i="1"/>
  <c r="F46" i="1"/>
  <c r="E46" i="1"/>
  <c r="J45" i="1"/>
  <c r="I45" i="1"/>
  <c r="G45" i="1"/>
  <c r="F45" i="1"/>
  <c r="E45" i="1"/>
  <c r="J44" i="1"/>
  <c r="I44" i="1"/>
  <c r="G44" i="1"/>
  <c r="F44" i="1"/>
  <c r="E44" i="1"/>
  <c r="J43" i="1"/>
  <c r="I43" i="1"/>
  <c r="G43" i="1"/>
  <c r="F43" i="1"/>
  <c r="E43" i="1"/>
  <c r="J42" i="1"/>
  <c r="I42" i="1"/>
  <c r="G42" i="1"/>
  <c r="F42" i="1"/>
  <c r="E42" i="1"/>
  <c r="J41" i="1"/>
  <c r="I41" i="1"/>
  <c r="G41" i="1"/>
  <c r="F41" i="1"/>
  <c r="E41" i="1"/>
  <c r="J40" i="1"/>
  <c r="I40" i="1"/>
  <c r="G40" i="1"/>
  <c r="F40" i="1"/>
  <c r="E40" i="1"/>
  <c r="J39" i="1"/>
  <c r="I39" i="1"/>
  <c r="G39" i="1"/>
  <c r="F39" i="1"/>
  <c r="E39" i="1"/>
  <c r="J38" i="1"/>
  <c r="I38" i="1"/>
  <c r="G38" i="1"/>
  <c r="F38" i="1"/>
  <c r="E38" i="1"/>
  <c r="J37" i="1"/>
  <c r="I37" i="1"/>
  <c r="G37" i="1"/>
  <c r="F37" i="1"/>
  <c r="E37" i="1"/>
  <c r="J36" i="1"/>
  <c r="I36" i="1"/>
  <c r="G36" i="1"/>
  <c r="F36" i="1"/>
  <c r="E36" i="1"/>
  <c r="J35" i="1"/>
  <c r="I35" i="1"/>
  <c r="G35" i="1"/>
  <c r="F35" i="1"/>
  <c r="E35" i="1"/>
  <c r="J34" i="1"/>
  <c r="I34" i="1"/>
  <c r="G34" i="1"/>
  <c r="F34" i="1"/>
  <c r="E34" i="1"/>
  <c r="J33" i="1"/>
  <c r="I33" i="1"/>
  <c r="G33" i="1"/>
  <c r="F33" i="1"/>
  <c r="E33" i="1"/>
  <c r="J32" i="1"/>
  <c r="I32" i="1"/>
  <c r="G32" i="1"/>
  <c r="F32" i="1"/>
  <c r="E32" i="1"/>
  <c r="J31" i="1"/>
  <c r="I31" i="1"/>
  <c r="G31" i="1"/>
  <c r="F31" i="1"/>
  <c r="E31" i="1"/>
  <c r="J30" i="1"/>
  <c r="I30" i="1"/>
  <c r="G30" i="1"/>
  <c r="F30" i="1"/>
  <c r="E30" i="1"/>
  <c r="J29" i="1"/>
  <c r="I29" i="1"/>
  <c r="G29" i="1"/>
  <c r="F29" i="1"/>
  <c r="E29" i="1"/>
  <c r="J28" i="1"/>
  <c r="I28" i="1"/>
  <c r="G28" i="1"/>
  <c r="F28" i="1"/>
  <c r="E28" i="1"/>
  <c r="J27" i="1"/>
  <c r="I27" i="1"/>
  <c r="G27" i="1"/>
  <c r="F27" i="1"/>
  <c r="E27" i="1"/>
  <c r="J26" i="1"/>
  <c r="I26" i="1"/>
  <c r="G26" i="1"/>
  <c r="F26" i="1"/>
  <c r="E26" i="1"/>
  <c r="J25" i="1"/>
  <c r="I25" i="1"/>
  <c r="G25" i="1"/>
  <c r="F25" i="1"/>
  <c r="E25" i="1"/>
  <c r="J24" i="1"/>
  <c r="I24" i="1"/>
  <c r="G24" i="1"/>
  <c r="F24" i="1"/>
  <c r="E24" i="1"/>
  <c r="J23" i="1"/>
  <c r="I23" i="1"/>
  <c r="G23" i="1"/>
  <c r="F23" i="1"/>
  <c r="E23" i="1"/>
  <c r="J22" i="1"/>
  <c r="I22" i="1"/>
  <c r="G22" i="1"/>
  <c r="F22" i="1"/>
  <c r="E22" i="1"/>
  <c r="J21" i="1"/>
  <c r="I21" i="1"/>
  <c r="G21" i="1"/>
  <c r="F21" i="1"/>
  <c r="E21" i="1"/>
  <c r="J20" i="1"/>
  <c r="I20" i="1"/>
  <c r="G20" i="1"/>
  <c r="F20" i="1"/>
  <c r="E20" i="1"/>
  <c r="J19" i="1"/>
  <c r="I19" i="1"/>
  <c r="G19" i="1"/>
  <c r="F19" i="1"/>
  <c r="E19" i="1"/>
  <c r="J18" i="1"/>
  <c r="I18" i="1"/>
  <c r="G18" i="1"/>
  <c r="F18" i="1"/>
  <c r="E18" i="1"/>
  <c r="J17" i="1"/>
  <c r="I17" i="1"/>
  <c r="G17" i="1"/>
  <c r="F17" i="1"/>
  <c r="E17" i="1"/>
  <c r="J16" i="1"/>
  <c r="I16" i="1"/>
  <c r="G16" i="1"/>
  <c r="F16" i="1"/>
  <c r="E16" i="1"/>
  <c r="J15" i="1"/>
  <c r="I15" i="1"/>
  <c r="G15" i="1"/>
  <c r="F15" i="1"/>
  <c r="E15" i="1"/>
  <c r="J14" i="1"/>
  <c r="I14" i="1"/>
  <c r="G14" i="1"/>
  <c r="F14" i="1"/>
  <c r="E14" i="1"/>
  <c r="J13" i="1"/>
  <c r="I13" i="1"/>
  <c r="G13" i="1"/>
  <c r="F13" i="1"/>
  <c r="E13" i="1"/>
  <c r="J12" i="1"/>
  <c r="I12" i="1"/>
  <c r="G12" i="1"/>
  <c r="F12" i="1"/>
  <c r="E12" i="1"/>
  <c r="J11" i="1"/>
  <c r="I11" i="1"/>
  <c r="G11" i="1"/>
  <c r="F11" i="1"/>
  <c r="E11" i="1"/>
  <c r="J10" i="1"/>
  <c r="I10" i="1"/>
  <c r="G10" i="1"/>
  <c r="F10" i="1"/>
  <c r="E10" i="1"/>
  <c r="J9" i="1"/>
  <c r="I9" i="1"/>
  <c r="G9" i="1"/>
  <c r="F9" i="1"/>
  <c r="E9" i="1"/>
  <c r="J8" i="1"/>
  <c r="I8" i="1"/>
  <c r="G8" i="1"/>
  <c r="F8" i="1"/>
  <c r="E8" i="1"/>
  <c r="J7" i="1"/>
  <c r="I7" i="1"/>
  <c r="G7" i="1"/>
  <c r="F7" i="1"/>
  <c r="E7" i="1"/>
  <c r="J6" i="1"/>
  <c r="I6" i="1"/>
  <c r="G6" i="1"/>
  <c r="F6" i="1"/>
  <c r="E6" i="1"/>
  <c r="J5" i="1"/>
  <c r="I5" i="1"/>
  <c r="G5" i="1"/>
  <c r="F5" i="1"/>
  <c r="E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岳晓昆</author>
    <author>李晨曦</author>
  </authors>
  <commentList>
    <comment ref="E1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卡牌上方的名字(杀 闪 万箭齐发 等等)</t>
        </r>
      </text>
    </comment>
    <comment ref="F1" authorId="0" shapeId="0" xr:uid="{00000000-0006-0000-0000-000002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第一层</t>
        </r>
      </text>
    </comment>
    <comment ref="G1" authorId="0" shapeId="0" xr:uid="{00000000-0006-0000-0000-000003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第二层</t>
        </r>
      </text>
    </comment>
    <comment ref="J1" authorId="1" shapeId="0" xr:uid="{00000000-0006-0000-0000-000004000000}">
      <text>
        <r>
          <rPr>
            <b/>
            <sz val="9"/>
            <rFont val="宋体"/>
            <family val="3"/>
            <charset val="134"/>
          </rPr>
          <t>卡牌效果类型
1:除了自已的在杀距离内的其它玩家;
2:除了自己的其他
玩家</t>
        </r>
      </text>
    </comment>
    <comment ref="K1" authorId="1" shapeId="0" xr:uid="{00000000-0006-0000-0000-000005000000}">
      <text>
        <r>
          <rPr>
            <b/>
            <sz val="9"/>
            <rFont val="宋体"/>
            <family val="3"/>
            <charset val="134"/>
          </rPr>
          <t>卡牌索敌流程
默认0
0:除了自已的在杀距离内的其它玩家;
1:除了自己的其他
玩家</t>
        </r>
      </text>
    </comment>
    <comment ref="L1" authorId="1" shapeId="0" xr:uid="{00000000-0006-0000-0000-000006000000}">
      <text>
        <r>
          <rPr>
            <b/>
            <sz val="9"/>
            <rFont val="宋体"/>
            <family val="3"/>
            <charset val="134"/>
          </rPr>
          <t>卡牌流程:
3=杀的表现和索敌流程</t>
        </r>
        <r>
          <rPr>
            <sz val="9"/>
            <rFont val="宋体"/>
            <family val="3"/>
            <charset val="134"/>
          </rPr>
          <t xml:space="preserve">
</t>
        </r>
      </text>
    </comment>
    <comment ref="R7" authorId="0" shapeId="0" xr:uid="{00000000-0006-0000-0000-000007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卡牌上方的名字(杀 闪 万箭齐发 等等)</t>
        </r>
      </text>
    </comment>
    <comment ref="S7" authorId="0" shapeId="0" xr:uid="{00000000-0006-0000-0000-000008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第一层</t>
        </r>
      </text>
    </comment>
    <comment ref="T7" authorId="0" shapeId="0" xr:uid="{00000000-0006-0000-0000-000009000000}">
      <text>
        <r>
          <rPr>
            <b/>
            <sz val="9"/>
            <rFont val="宋体"/>
            <family val="3"/>
            <charset val="134"/>
          </rPr>
          <t>岳晓昆:</t>
        </r>
        <r>
          <rPr>
            <sz val="9"/>
            <rFont val="宋体"/>
            <family val="3"/>
            <charset val="134"/>
          </rPr>
          <t xml:space="preserve">
手牌的Icon图 第二层</t>
        </r>
      </text>
    </comment>
    <comment ref="V7" authorId="1" shapeId="0" xr:uid="{00000000-0006-0000-0000-00000A000000}">
      <text>
        <r>
          <rPr>
            <b/>
            <sz val="9"/>
            <rFont val="宋体"/>
            <family val="3"/>
            <charset val="134"/>
          </rPr>
          <t>卡牌效果类型
1:除了自已的在杀距离内的其它玩家;
2:除了自己的其他
玩家</t>
        </r>
      </text>
    </comment>
  </commentList>
</comments>
</file>

<file path=xl/sharedStrings.xml><?xml version="1.0" encoding="utf-8"?>
<sst xmlns="http://schemas.openxmlformats.org/spreadsheetml/2006/main" count="2151" uniqueCount="533">
  <si>
    <t>手牌表现id</t>
  </si>
  <si>
    <t>手牌名称</t>
  </si>
  <si>
    <t>手牌属性(筛选用)</t>
  </si>
  <si>
    <t>手牌类型(筛选用)</t>
  </si>
  <si>
    <t>手牌名称图</t>
  </si>
  <si>
    <t>手牌Icon</t>
  </si>
  <si>
    <t>手牌额外Icon</t>
  </si>
  <si>
    <t>手牌缩略字</t>
  </si>
  <si>
    <t>被打出去时的语音</t>
  </si>
  <si>
    <t>装备美术字图</t>
  </si>
  <si>
    <t>int</t>
  </si>
  <si>
    <r>
      <rPr>
        <sz val="11"/>
        <color theme="1"/>
        <rFont val="等线"/>
        <family val="3"/>
        <charset val="134"/>
        <scheme val="minor"/>
      </rPr>
      <t>s</t>
    </r>
    <r>
      <rPr>
        <sz val="11"/>
        <color theme="1"/>
        <rFont val="等线"/>
        <family val="3"/>
        <charset val="134"/>
        <scheme val="minor"/>
      </rPr>
      <t>tring</t>
    </r>
  </si>
  <si>
    <t>string</t>
  </si>
  <si>
    <t>EAudioId</t>
  </si>
  <si>
    <t>Id</t>
  </si>
  <si>
    <t>Name</t>
  </si>
  <si>
    <t>NameSprite</t>
  </si>
  <si>
    <t>Icon</t>
  </si>
  <si>
    <t>Icon1</t>
  </si>
  <si>
    <t>ShortName</t>
  </si>
  <si>
    <t>PlayVoice</t>
  </si>
  <si>
    <t>EquipNameSprite</t>
  </si>
  <si>
    <t>client</t>
  </si>
  <si>
    <t>server/client</t>
  </si>
  <si>
    <t>万箭齐发</t>
  </si>
  <si>
    <t>1</t>
  </si>
  <si>
    <t>万</t>
  </si>
  <si>
    <t>亮银枪</t>
  </si>
  <si>
    <t>2</t>
  </si>
  <si>
    <t>亮</t>
  </si>
  <si>
    <t>杀</t>
  </si>
  <si>
    <t>3</t>
  </si>
  <si>
    <t>青龙偃月刀</t>
  </si>
  <si>
    <t>4</t>
  </si>
  <si>
    <t>青</t>
  </si>
  <si>
    <t>ui_s1_fight_km_name_wanjianqifa</t>
  </si>
  <si>
    <t>ui_s1_fight_card1_tu_wjqf</t>
  </si>
  <si>
    <t>Vo_Skill_Wanjianqifa</t>
  </si>
  <si>
    <t>阵前对决</t>
  </si>
  <si>
    <t>5</t>
  </si>
  <si>
    <t>阵</t>
  </si>
  <si>
    <t>ui_s1_fight_km_name_lyq</t>
  </si>
  <si>
    <t>ui_s1_fight_card1_tu_liangyinqiang</t>
  </si>
  <si>
    <t>AudioNull</t>
  </si>
  <si>
    <t>ui_s1_fight_zhuangbei_012_liangyinqiang</t>
  </si>
  <si>
    <t>借刀杀人</t>
  </si>
  <si>
    <t>6</t>
  </si>
  <si>
    <t>借</t>
  </si>
  <si>
    <t>ui_s1_fight_km_chongsha</t>
  </si>
  <si>
    <t>ui_s1_fight_card1_tu_sha</t>
  </si>
  <si>
    <t>铁索连舟</t>
  </si>
  <si>
    <t>7</t>
  </si>
  <si>
    <t>索</t>
  </si>
  <si>
    <t>ui_s1_fight_km_name_qlyyd</t>
  </si>
  <si>
    <t>ui_s1_fight_card1_tu_qinglongyanyuedao</t>
  </si>
  <si>
    <t>ui_s1_fight_zhuangbei_008_qinglongyanyuedao</t>
  </si>
  <si>
    <t>开山斧</t>
  </si>
  <si>
    <t>8</t>
  </si>
  <si>
    <t>开</t>
  </si>
  <si>
    <t>ui_s1_fight_km_name_zqdj</t>
  </si>
  <si>
    <t>ui_s1_fight_card1_tu_tongyong_zhenqianduijue</t>
  </si>
  <si>
    <t>轩辕剑</t>
  </si>
  <si>
    <t>轩</t>
  </si>
  <si>
    <t>ui_s1_fight_km_name_jdsr</t>
  </si>
  <si>
    <t>ui_s1_fight_card1_tu_jiedaosharen</t>
  </si>
  <si>
    <t>ui_s1_fight_km_name_tiesuolianzhou</t>
  </si>
  <si>
    <t>ui_s1_fight_card1_tu_tslz</t>
  </si>
  <si>
    <t>ui_s1_fight_km_name_ksf</t>
  </si>
  <si>
    <t>ui_s1_fight_card1_tu_kaitianfu</t>
  </si>
  <si>
    <t>ui_s1_fight_zhuangbei_002_kaishanfu</t>
  </si>
  <si>
    <t>ui_s1_fight_km_name_xyj</t>
  </si>
  <si>
    <t>ui_s1_fight_card1_tu_xuanyuanjian</t>
  </si>
  <si>
    <t>ui_s1_fight_zhuangbei_001_xuanyuanjian</t>
  </si>
  <si>
    <t>ui_s1_fight_km_leisha</t>
  </si>
  <si>
    <t>鸣鸿刀</t>
  </si>
  <si>
    <t>ui_s1_fight_km_mhd</t>
  </si>
  <si>
    <t>ui_s1_fight_card1_tu_tongyong_minghongdao</t>
  </si>
  <si>
    <t>ui_s1_fight_zhuangbei_003_minghongdao</t>
  </si>
  <si>
    <t>方天画戟</t>
  </si>
  <si>
    <t>ui_s1_fight_km_name_fthj</t>
  </si>
  <si>
    <t>ui_s1_fight_card1_tu_fangtianhuaji</t>
  </si>
  <si>
    <t>ui_s1_fight_zhuangbei_007_fangtianhuaji</t>
  </si>
  <si>
    <t>鸣</t>
  </si>
  <si>
    <t>干将莫邪</t>
  </si>
  <si>
    <t>ui_s1_fight_km_name_gjmy</t>
  </si>
  <si>
    <t>ui_s1_fight_card1_tu_ganjiangmoye</t>
  </si>
  <si>
    <t>ui_s1_fight_zhuangbei_006_ganjiangmoye</t>
  </si>
  <si>
    <t>方</t>
  </si>
  <si>
    <t>八卦盾</t>
  </si>
  <si>
    <t>ui_s1_fight_km_name_bgd</t>
  </si>
  <si>
    <t>ui_s1_fight_card1_tu_baguadun</t>
  </si>
  <si>
    <t>ui_s1_fight_zhuangbei_015_baguadun</t>
  </si>
  <si>
    <t>干</t>
  </si>
  <si>
    <t>丈八蛇矛</t>
  </si>
  <si>
    <t>ui_s1_fight_km_name_zbsm</t>
  </si>
  <si>
    <t>ui_s1_fight_card1_tu_zhangbashemao</t>
  </si>
  <si>
    <t>ui_s1_fight_zhuangbei_009_zhangbashemao</t>
  </si>
  <si>
    <t>惊羽弓</t>
  </si>
  <si>
    <t>ui_s1_fight_km_name_jyg</t>
  </si>
  <si>
    <t>ui_s1_fight_card1_tu_jingyugong</t>
  </si>
  <si>
    <t>ui_s1_fight_zhuangbei_004_jingyugong</t>
  </si>
  <si>
    <t>诸葛连弩</t>
  </si>
  <si>
    <t>ui_s1_fight_km_name_zgln</t>
  </si>
  <si>
    <t>ui_s1_fight_card1_tu_zhugeliannu</t>
  </si>
  <si>
    <t>ui_s1_fight_zhuangbei_011_zhugeliannu</t>
  </si>
  <si>
    <t>龙舌弓</t>
  </si>
  <si>
    <t>ui_s1_fight_km_name_qlg</t>
  </si>
  <si>
    <t>ui_s1_fight_card1_tu_qilingong</t>
  </si>
  <si>
    <t>ui_s1_fight_zhuangbei_005_longshegong</t>
  </si>
  <si>
    <t>休养生息</t>
  </si>
  <si>
    <t>ui_s1_fight_km_name_xysx</t>
  </si>
  <si>
    <t>ui_s1_fight_card1_tu_xysx</t>
  </si>
  <si>
    <t>多多益善</t>
  </si>
  <si>
    <t>ui_s1_fight_km_name_ddys</t>
  </si>
  <si>
    <t>ui_s1_fight_card1_tu_ddys</t>
  </si>
  <si>
    <t>藤甲</t>
  </si>
  <si>
    <t>ui_s1_fight_km_name_tengjia</t>
  </si>
  <si>
    <t>ui_s1_fight_card1_tu_tengjia</t>
  </si>
  <si>
    <t>ui_s1_fight_zhuangbei_013_tengjia</t>
  </si>
  <si>
    <t>银狮盔</t>
  </si>
  <si>
    <t>银</t>
  </si>
  <si>
    <t>酒</t>
  </si>
  <si>
    <t>ui_s1_fight_km_jue</t>
  </si>
  <si>
    <t>ui_s1_fight_card1_tu_jiu</t>
  </si>
  <si>
    <t>丈</t>
  </si>
  <si>
    <t>先拔头筹</t>
  </si>
  <si>
    <t>ui_s1_fight_km_name_xbtc</t>
  </si>
  <si>
    <t>ui_s1_fight_card1_tu_xianbatouchou</t>
  </si>
  <si>
    <t>云锦袍</t>
  </si>
  <si>
    <t>ui_s1_fight_km_name_yjp</t>
  </si>
  <si>
    <t>ui_s1_fight_card1_tu_yunjinpao</t>
  </si>
  <si>
    <t>ui_s1_fight_zhuangbei_014_yunjinpao</t>
  </si>
  <si>
    <t>绝影</t>
  </si>
  <si>
    <t>ui_s1_fight_km_name_jueying</t>
  </si>
  <si>
    <t>ui_s1_fight_card1_tu_jueying</t>
  </si>
  <si>
    <t>ui_s1_fight_zhuangbei_022_jueying</t>
  </si>
  <si>
    <t>惊</t>
  </si>
  <si>
    <t>的卢</t>
  </si>
  <si>
    <t>ui_s1_fight_km_name_dilu</t>
  </si>
  <si>
    <t>ui_s1_fight_card1_tu_dilu</t>
  </si>
  <si>
    <t>ui_s1_fight_zhuangbei_021_dilu</t>
  </si>
  <si>
    <t>天雷</t>
  </si>
  <si>
    <t>ui_s1_fight_km_name_tianlei</t>
  </si>
  <si>
    <t>ui_s1_fight_card1_tu_tianlei</t>
  </si>
  <si>
    <t>玄武盾</t>
  </si>
  <si>
    <t>ui_s1_fight_km_name_xuanwudun</t>
  </si>
  <si>
    <t>ui_s1_fight_card1_tu_xuanwudun</t>
  </si>
  <si>
    <t>ui_s1_fight_zhuangbei_016_xuanwudun</t>
  </si>
  <si>
    <t>爪黄飞电</t>
  </si>
  <si>
    <t>ui_s1_fight_km_name_zhfd</t>
  </si>
  <si>
    <t>ui_s1_fight_card1_tu_zhuahuangfeidian</t>
  </si>
  <si>
    <t>ui_s1_fight_zhuangbei_023_zhaohuangfeidian</t>
  </si>
  <si>
    <t>桃</t>
  </si>
  <si>
    <t>ui_s1_fight_km_pantao</t>
  </si>
  <si>
    <t>ui_s1_fight_card1_tu_tao_01</t>
  </si>
  <si>
    <t>连</t>
  </si>
  <si>
    <t>盗骊</t>
  </si>
  <si>
    <t>ui_s1_fight_km_name_daoli</t>
  </si>
  <si>
    <t>ui_s1_fight_card1_tu_daoli</t>
  </si>
  <si>
    <t>ui_s1_fight_zhuangbei_026_daoli</t>
  </si>
  <si>
    <t>飒露紫</t>
  </si>
  <si>
    <t>ui_s1_fight_km_name_slz</t>
  </si>
  <si>
    <t>ui_s1_fight_card1_tu_saluzi</t>
  </si>
  <si>
    <t>ui_s1_fight_zhuangbei_024_saluzi</t>
  </si>
  <si>
    <t>白蹄乌</t>
  </si>
  <si>
    <t>ui_s1_fight_km_name_baitiwu</t>
  </si>
  <si>
    <t>ui_s1_fight_card1_tu_baitiwu</t>
  </si>
  <si>
    <t>ui_s1_fight_zhuangbei_025_baitiwu</t>
  </si>
  <si>
    <t>ui_s1_fight_km_name_ysk</t>
  </si>
  <si>
    <t>ui_s1_fight_card1_tu_yinshikui</t>
  </si>
  <si>
    <t>ui_s1_fight_zhuangbei_018_yinshikui</t>
  </si>
  <si>
    <t>无懈可击</t>
  </si>
  <si>
    <t>ui_s1_fight_km_name_wxkj</t>
  </si>
  <si>
    <t>ui_s1_fight_card1_tu_wxkj</t>
  </si>
  <si>
    <t>闪</t>
  </si>
  <si>
    <t>ui_s1_fight_km_shanbi</t>
  </si>
  <si>
    <t>ui_s1_fight_card1_tu_shan</t>
  </si>
  <si>
    <t>乌骓</t>
  </si>
  <si>
    <t>ui_s1_fight_km_wuzhui</t>
  </si>
  <si>
    <t>ui_s1_fight_card1_tu_wuzhui</t>
  </si>
  <si>
    <t>ui_s1_fight_zhuangbei_019_wuzhui</t>
  </si>
  <si>
    <t>休</t>
  </si>
  <si>
    <t>顺手牵羊</t>
  </si>
  <si>
    <t>ui_s1_fight_km_name_shunshouqianyang</t>
  </si>
  <si>
    <t>ui_s1_fight_card1_tu_ssqy</t>
  </si>
  <si>
    <t>多</t>
  </si>
  <si>
    <t>过河拆桥</t>
  </si>
  <si>
    <t>ui_s1_fight_km_name_ghcq</t>
  </si>
  <si>
    <t>ui_s1_fight_card1_tu_ghcq</t>
  </si>
  <si>
    <t>藤</t>
  </si>
  <si>
    <t>乐不思蜀</t>
  </si>
  <si>
    <t>ui_s1_fight_km_name_lebusishu</t>
  </si>
  <si>
    <t>ui_s1_fight_card1_tu_lbss</t>
  </si>
  <si>
    <t>凤羽盔</t>
  </si>
  <si>
    <t>ui_s1_fight_km_name_fyk</t>
  </si>
  <si>
    <t>ui_s1_fight_card1_tu_fengyukui</t>
  </si>
  <si>
    <t>ui_s1_fight_zhuangbei_017_fengyukui</t>
  </si>
  <si>
    <t>先</t>
  </si>
  <si>
    <t>ui_s1_fight_km_huosha</t>
  </si>
  <si>
    <t>卢</t>
  </si>
  <si>
    <t>烈火焚城</t>
  </si>
  <si>
    <t>ui_s1_fight_km_name_liehuofencheng</t>
  </si>
  <si>
    <t>ui_s1_fight_card1_tu_lhfc</t>
  </si>
  <si>
    <t>赤兔</t>
  </si>
  <si>
    <t>ui_s1_fight_km_name_chitu</t>
  </si>
  <si>
    <t>ui_s1_fight_card1_tu_ct</t>
  </si>
  <si>
    <t>ui_s1_fight_zhuangbei_020_chitupng</t>
  </si>
  <si>
    <t>烽火狼烟</t>
  </si>
  <si>
    <t>ui_s1_fight_km_name_fhly</t>
  </si>
  <si>
    <t>ui_s1_fight_card1_tu_fhxzh</t>
  </si>
  <si>
    <t>雷</t>
  </si>
  <si>
    <t>兵粮寸断</t>
  </si>
  <si>
    <t>ui_s1_fight_km_name_binglaingcunduan</t>
  </si>
  <si>
    <t>ui_s1_fight_card1_tu_blcd</t>
  </si>
  <si>
    <t>地火</t>
  </si>
  <si>
    <t>ui_s1_fight_km_name_dihuo</t>
  </si>
  <si>
    <t>ui_s1_fight_card1_tu_dihuo</t>
  </si>
  <si>
    <t>粮</t>
  </si>
  <si>
    <t>羽扇</t>
  </si>
  <si>
    <t>ui_s1_fight_km_name_zhuqueyushan</t>
  </si>
  <si>
    <t>ui_s1_fight_card1_tu_zqys</t>
  </si>
  <si>
    <t>ui_s1_fight_zhuangbei_010_yushan</t>
  </si>
  <si>
    <t>易</t>
  </si>
  <si>
    <t>ui_s1_fight_km_yi</t>
  </si>
  <si>
    <t>ui_s1_fight_card1_tu_yi</t>
  </si>
  <si>
    <t>ui_s1_fight_card1_tu_yi2_yang</t>
  </si>
  <si>
    <t>ui_s1_fight_card1_tu_yi2_yin</t>
  </si>
  <si>
    <t>符水</t>
  </si>
  <si>
    <t>ui_s1_fight_km_name_fushui</t>
  </si>
  <si>
    <t>ui_s1_fight_card1_tu_fushui</t>
  </si>
  <si>
    <t>桃花</t>
  </si>
  <si>
    <t>ui_s1_fight_km_name_taohua</t>
  </si>
  <si>
    <t>ui_s1_fight_card1_tu_taohua</t>
  </si>
  <si>
    <t>舌战群儒</t>
  </si>
  <si>
    <t>ui_s1_fight_km_name_shezhanqunru</t>
  </si>
  <si>
    <t>ui_s1_fight_card1_tu_shezhanqunru</t>
  </si>
  <si>
    <t>草船借箭</t>
  </si>
  <si>
    <t>ui_s1_fight_km_name_caochuanjiejian</t>
  </si>
  <si>
    <t>ui_s1_fight_card1_tu_caochuanjiejian</t>
  </si>
  <si>
    <t>七星祭风</t>
  </si>
  <si>
    <t>ui_s1_fight_km_name_qixingjifeng</t>
  </si>
  <si>
    <t>ui_s1_fight_card1_tu_qixingjifeng</t>
  </si>
  <si>
    <t>智取华容</t>
  </si>
  <si>
    <t>ui_s1_fight_km_name_zhiquhuarong</t>
  </si>
  <si>
    <t>ui_s1_fight_card1_tu_zhiquhuarong</t>
  </si>
  <si>
    <t>七擒七纵</t>
  </si>
  <si>
    <t>ui_s1_fight_km_name_qiqinqizong</t>
  </si>
  <si>
    <t>ui_s1_fight_card1_tu_qiqinqizong</t>
  </si>
  <si>
    <t>骊</t>
  </si>
  <si>
    <t>空城计</t>
  </si>
  <si>
    <t>ui_s1_fight_km_name_kongchengji</t>
  </si>
  <si>
    <t>ui_s1_fight_card1_tu_kongchengji</t>
  </si>
  <si>
    <t>上方用火</t>
  </si>
  <si>
    <t>ui_s1_fight_km_name_shangfangyonghuo</t>
  </si>
  <si>
    <t>ui_s1_fight_card1_tu_shangfangyonhuo</t>
  </si>
  <si>
    <t>飒</t>
  </si>
  <si>
    <t>借尸还魂</t>
  </si>
  <si>
    <t>ui_s1_fight_km_name_jieshihuanhun</t>
  </si>
  <si>
    <t>ui_s1_fight_card1_tu_jieshihuanhun</t>
  </si>
  <si>
    <t>文韬</t>
  </si>
  <si>
    <t>ui_s1_fight_km_name_wentao</t>
  </si>
  <si>
    <t>ui_s1_fight_card1_tu_wentao</t>
  </si>
  <si>
    <t>爪</t>
  </si>
  <si>
    <t>武韬</t>
  </si>
  <si>
    <t>ui_s1_fight_km_name_wutao</t>
  </si>
  <si>
    <t>ui_s1_fight_card1_tu_wutao</t>
  </si>
  <si>
    <t>龙韬</t>
  </si>
  <si>
    <t>ui_s1_fight_km_name_longtao</t>
  </si>
  <si>
    <t>ui_s1_fight_card1_tu_longtao</t>
  </si>
  <si>
    <t>虎韬</t>
  </si>
  <si>
    <t>ui_s1_fight_km_name_hutao</t>
  </si>
  <si>
    <t>ui_s1_fight_card1_tu_hutao</t>
  </si>
  <si>
    <t>豹韬</t>
  </si>
  <si>
    <t>ui_s1_fight_km_name_baotao</t>
  </si>
  <si>
    <t>ui_s1_fight_card1_tu_baotao</t>
  </si>
  <si>
    <t>白</t>
  </si>
  <si>
    <t>犬韬</t>
  </si>
  <si>
    <t>ui_s1_fight_km_name_quantao</t>
  </si>
  <si>
    <t>ui_s1_fight_card1_tu_quantao</t>
  </si>
  <si>
    <t>骓</t>
  </si>
  <si>
    <t>欺上瞒下</t>
  </si>
  <si>
    <t>ui_s1_fight_km_name_qishangmanxia</t>
  </si>
  <si>
    <t>ui_s1_fight_card1_tu_qishangmanxia</t>
  </si>
  <si>
    <t>陷害忠良</t>
  </si>
  <si>
    <t>ui_s1_fight_km_name_xianhaizhongliang</t>
  </si>
  <si>
    <t>ui_s1_fight_card1_tu_xianhaizhongliang</t>
  </si>
  <si>
    <t>横征暴敛</t>
  </si>
  <si>
    <t>ui_s1_fight_km_name_hengzhengbaolian</t>
  </si>
  <si>
    <t>ui_s1_fight_card1_tu_hengzhengbaolian</t>
  </si>
  <si>
    <t>酷刑烈法</t>
  </si>
  <si>
    <t>ui_s1_fight_km_name_kuxingliefa</t>
  </si>
  <si>
    <t>ui_s1_fight_card1_tu_kuxingliefa</t>
  </si>
  <si>
    <t>操纵朝政</t>
  </si>
  <si>
    <t>ui_s1_fight_km_name_caozongchaozheng</t>
  </si>
  <si>
    <t>ui_s1_fight_card1_tu_caozongchaozheng</t>
  </si>
  <si>
    <t>扰乱朝纲</t>
  </si>
  <si>
    <t>ui_s1_fight_km_name_raoluanchaogang</t>
  </si>
  <si>
    <t>ui_s1_fight_card1_tu_raoluanchaogang</t>
  </si>
  <si>
    <t>断角獬豸</t>
  </si>
  <si>
    <t>ui_s1_fight_km_name_duanjiaoxiezhi</t>
  </si>
  <si>
    <t>ui_s1_fight_card1_tu_duanjiaoxiezhi</t>
  </si>
  <si>
    <t>绝</t>
  </si>
  <si>
    <t>秦鹿</t>
  </si>
  <si>
    <t>ui_s1_fight_km_name_qinlu</t>
  </si>
  <si>
    <t>ui_s1_fight_card1_tu_qinlu</t>
  </si>
  <si>
    <t>伪诏</t>
  </si>
  <si>
    <t>ui_s1_fight_km_name_weizhao</t>
  </si>
  <si>
    <t>ui_s1_fight_card1_tu_weizhao</t>
  </si>
  <si>
    <t>爰历</t>
  </si>
  <si>
    <t>ui_s1_fight_km_name_yuanli</t>
  </si>
  <si>
    <t>ui_s1_fight_card1_tu_yuanli</t>
  </si>
  <si>
    <t>捐金反间</t>
  </si>
  <si>
    <t>ui_s1_fight_km_name_juanjinfanjian</t>
  </si>
  <si>
    <t>ui_s1_fight_card1_tu_juanjinfanjian</t>
  </si>
  <si>
    <t>无</t>
  </si>
  <si>
    <t>恶草近使</t>
  </si>
  <si>
    <t>ui_s1_fight_km_name_ecaojinshi</t>
  </si>
  <si>
    <t>ui_s1_fight_card1_tu_ecaojinshi</t>
  </si>
  <si>
    <t>夜解荥阳</t>
  </si>
  <si>
    <t>ui_s1_fight_km_name_yejiexingyang</t>
  </si>
  <si>
    <t>ui_s1_fight_card1_tu_yejiexingyang</t>
  </si>
  <si>
    <t>蹑足稳心</t>
  </si>
  <si>
    <t>ui_s1_fight_km_name_niezuwenxin</t>
  </si>
  <si>
    <t>ui_s1_fight_card1_tu_niezuwenxin</t>
  </si>
  <si>
    <t>游云梦泽</t>
  </si>
  <si>
    <t>ui_s1_fight_km_name_youyunmengze</t>
  </si>
  <si>
    <t>ui_s1_fight_card1_tu_youyunmengze</t>
  </si>
  <si>
    <t>顺</t>
  </si>
  <si>
    <t>白登解围</t>
  </si>
  <si>
    <t>ui_s1_fight_km_name_baidengjiewei</t>
  </si>
  <si>
    <t>ui_s1_fight_card1_tu_baidengjiewei</t>
  </si>
  <si>
    <t>拆</t>
  </si>
  <si>
    <t>狐鸣</t>
  </si>
  <si>
    <t>ui_s1_fight_km_name_huming</t>
  </si>
  <si>
    <t>ui_s1_fight_card1_tu_huming</t>
  </si>
  <si>
    <t>武刚车</t>
  </si>
  <si>
    <t>ui_s1_fight_km_name_wugangche</t>
  </si>
  <si>
    <t>ui_s1_fight_card1_tu_wugangche</t>
  </si>
  <si>
    <t>乐</t>
  </si>
  <si>
    <t>魏虎符</t>
  </si>
  <si>
    <t>ui_s1_fight_km_name_weihufu</t>
  </si>
  <si>
    <t>ui_s1_fight_card1_tu_weihufu</t>
  </si>
  <si>
    <t>懈</t>
  </si>
  <si>
    <t>怒气</t>
  </si>
  <si>
    <t>ui_s1_fight_km_nuqii</t>
  </si>
  <si>
    <t>ui_s1_fight_card1_tu_nuqi</t>
  </si>
  <si>
    <t>增兵</t>
  </si>
  <si>
    <t>ui_s1_fight_km_name_zengbing</t>
  </si>
  <si>
    <t>箭雨齐射</t>
  </si>
  <si>
    <t>ui_s1_fight_km_name_jianyuqishe</t>
  </si>
  <si>
    <t>连环</t>
  </si>
  <si>
    <t>ui_s1_fight_km_name_lianhuan</t>
  </si>
  <si>
    <t>对决</t>
  </si>
  <si>
    <t>ui_s1_fight_km_name_duijue</t>
  </si>
  <si>
    <t>焚城</t>
  </si>
  <si>
    <t>ui_s1_fight_km_name_fencheng</t>
  </si>
  <si>
    <t>夺粮劫营</t>
  </si>
  <si>
    <t>ui_s1_fight_km_name_duoliangjieying</t>
  </si>
  <si>
    <t>ui_s1_fight_card1_tu_jieying</t>
  </si>
  <si>
    <t>破阵卸甲</t>
  </si>
  <si>
    <t>ui_s1_fight_km_name_pozhenxiejia</t>
  </si>
  <si>
    <t>ui_s1_fight_card1_tu_pozhen</t>
  </si>
  <si>
    <t>久旱</t>
  </si>
  <si>
    <t>ui_s1_fight_km_name_jiuhan</t>
  </si>
  <si>
    <t>ui_s1_fight_card1_tu_jiuhan</t>
  </si>
  <si>
    <t>霜冻</t>
  </si>
  <si>
    <t>ui_s1_fight_km_name_shuangdong</t>
  </si>
  <si>
    <t>ui_s1_fight_card1_tu_shuangdong</t>
  </si>
  <si>
    <t>识破</t>
  </si>
  <si>
    <t>ui_s1_fight_km_name_shipo</t>
  </si>
  <si>
    <t>ui_s1_fight_card1_tu_shipo</t>
  </si>
  <si>
    <t>调兵遣将</t>
  </si>
  <si>
    <t>ui_s1_fight_km_name_diaobingqianjiang</t>
  </si>
  <si>
    <t>ui_s1_fight_card1_tu_diaobingqianjiang</t>
  </si>
  <si>
    <t>丹砂</t>
  </si>
  <si>
    <t>ui_s1_fight_km_name_dansha</t>
  </si>
  <si>
    <t>ui_s1_fight_card1_tu_dansha</t>
  </si>
  <si>
    <t>冲杀</t>
  </si>
  <si>
    <t>火杀</t>
  </si>
  <si>
    <t>ui_s1_fight_km_huoshai</t>
  </si>
  <si>
    <t>雷杀</t>
  </si>
  <si>
    <t>ui_s1_fight_km_leishai</t>
  </si>
  <si>
    <t>闪避</t>
  </si>
  <si>
    <t>蟠桃</t>
  </si>
  <si>
    <t>袍</t>
  </si>
  <si>
    <t>凤</t>
  </si>
  <si>
    <t>焚</t>
  </si>
  <si>
    <t>烽</t>
  </si>
  <si>
    <t>玄</t>
  </si>
  <si>
    <t>火</t>
  </si>
  <si>
    <t>卦</t>
  </si>
  <si>
    <t>扇</t>
  </si>
  <si>
    <t>兔</t>
  </si>
  <si>
    <t>舌</t>
  </si>
  <si>
    <t>符</t>
  </si>
  <si>
    <t>花</t>
  </si>
  <si>
    <t>儒</t>
  </si>
  <si>
    <t>船</t>
  </si>
  <si>
    <t>星</t>
  </si>
  <si>
    <t>智</t>
  </si>
  <si>
    <t>七</t>
  </si>
  <si>
    <t>空</t>
  </si>
  <si>
    <t>上</t>
  </si>
  <si>
    <t>魂</t>
  </si>
  <si>
    <t>文</t>
  </si>
  <si>
    <t>武</t>
  </si>
  <si>
    <t>龙</t>
  </si>
  <si>
    <t>虎</t>
  </si>
  <si>
    <t>豹</t>
  </si>
  <si>
    <t>犬</t>
  </si>
  <si>
    <t>欺</t>
  </si>
  <si>
    <t>害</t>
  </si>
  <si>
    <t>敛</t>
  </si>
  <si>
    <t>刑</t>
  </si>
  <si>
    <t>纵</t>
  </si>
  <si>
    <t>乱</t>
  </si>
  <si>
    <t>角</t>
  </si>
  <si>
    <t>ui_s1_fight_zhuangbei_028_duanjiaoxiezhi</t>
  </si>
  <si>
    <t>鹿</t>
  </si>
  <si>
    <t>ui_s1_fight_zhuangbei_027_qinlu</t>
  </si>
  <si>
    <t>诏</t>
  </si>
  <si>
    <t>ui_s1_fight_zhuangbei_029_weizhao</t>
  </si>
  <si>
    <t>爰</t>
  </si>
  <si>
    <t>ui_s1_fight_zhuangbei_030_yuanli</t>
  </si>
  <si>
    <t>捐</t>
  </si>
  <si>
    <t>恶</t>
  </si>
  <si>
    <t>夜</t>
  </si>
  <si>
    <t>蹑</t>
  </si>
  <si>
    <t>游</t>
  </si>
  <si>
    <t>解</t>
  </si>
  <si>
    <t>狐</t>
  </si>
  <si>
    <t>车</t>
  </si>
  <si>
    <t>ui_s1_fight_zhuangbei_031_weihufu</t>
  </si>
  <si>
    <t>砂</t>
  </si>
  <si>
    <t>吕氏春秋</t>
  </si>
  <si>
    <t>ui_s1_fight_km_name_lvshichunqiu</t>
  </si>
  <si>
    <t>ui_s1_fight_card1_tu_lvshichunqiu</t>
  </si>
  <si>
    <t>吕</t>
  </si>
  <si>
    <t>ui_s1_fight_zhuangbei_033_chunqiu</t>
  </si>
  <si>
    <t>徐夫人匕首</t>
  </si>
  <si>
    <t>ui_s1_fight_km_name_xufurenbishou</t>
  </si>
  <si>
    <t>ui_s1_fight_card1_tu_xufurenbishou</t>
  </si>
  <si>
    <t>徐</t>
  </si>
  <si>
    <t>远交近攻</t>
  </si>
  <si>
    <t>ui_s1_fight_km_name_yuanjiaojingong</t>
  </si>
  <si>
    <t>ui_s1_fight_card1_tu_yuanjiaojingong</t>
  </si>
  <si>
    <t>交</t>
  </si>
  <si>
    <t>调虎离山</t>
  </si>
  <si>
    <t>ui_s1_fight_km_name_diaohulishan</t>
  </si>
  <si>
    <t>ui_s1_fight_card1_tu_diaohulishan</t>
  </si>
  <si>
    <t>调</t>
  </si>
  <si>
    <t>祈晴祷雨</t>
  </si>
  <si>
    <t>ui_s1_fight_km_name_qiqingdaoyu</t>
  </si>
  <si>
    <t>ui_s1_fight_card1_tu_qiqingdaoyu</t>
  </si>
  <si>
    <t>祈</t>
  </si>
  <si>
    <t>隔岸观火</t>
  </si>
  <si>
    <t>ui_s1_fight_km_name_geanguanhuo</t>
  </si>
  <si>
    <t>ui_s1_fight_card1_tu_geanguanhuo</t>
  </si>
  <si>
    <t>岸</t>
  </si>
  <si>
    <t>金蝉脱壳</t>
  </si>
  <si>
    <t>ui_s1_fight_km_name_jinchantuoqiao</t>
  </si>
  <si>
    <t>ui_s1_fight_card1_tu_jinchantuoqiao</t>
  </si>
  <si>
    <t>蝉</t>
  </si>
  <si>
    <t>浑水摸鱼</t>
  </si>
  <si>
    <t>ui_s1_fight_km_name_hunshuimoyu</t>
  </si>
  <si>
    <t>ui_s1_fight_card1_tu_hunshuimoyu</t>
  </si>
  <si>
    <t>鱼</t>
  </si>
  <si>
    <t>义兵</t>
  </si>
  <si>
    <t>ui_s1_fight_km_name_yibing</t>
  </si>
  <si>
    <t>ui_s1_fight_card1_tu_yibing</t>
  </si>
  <si>
    <t>义</t>
  </si>
  <si>
    <t>渠</t>
  </si>
  <si>
    <t>ui_s1_fight_km_name_qu</t>
  </si>
  <si>
    <t>ui_s1_fight_card1_tu_qu</t>
  </si>
  <si>
    <t>#兵法篇牌堆</t>
  </si>
  <si>
    <t>箭</t>
  </si>
  <si>
    <t>怒</t>
  </si>
  <si>
    <t>旱</t>
  </si>
  <si>
    <t>识</t>
  </si>
  <si>
    <t>劫</t>
  </si>
  <si>
    <t>破</t>
  </si>
  <si>
    <t>霜</t>
  </si>
  <si>
    <t>3</t>
    <phoneticPr fontId="6" type="noConversion"/>
  </si>
  <si>
    <t>笞</t>
    <phoneticPr fontId="6" type="noConversion"/>
  </si>
  <si>
    <t>ui_s1_fight_km_name_chi</t>
    <phoneticPr fontId="6" type="noConversion"/>
  </si>
  <si>
    <t>ui_s1_fight_card1_tu_chi</t>
    <phoneticPr fontId="6" type="noConversion"/>
  </si>
  <si>
    <t>虎</t>
    <phoneticPr fontId="6" type="noConversion"/>
  </si>
  <si>
    <t>蛇</t>
    <phoneticPr fontId="6" type="noConversion"/>
  </si>
  <si>
    <t>鳄</t>
    <phoneticPr fontId="6" type="noConversion"/>
  </si>
  <si>
    <t>鹰</t>
    <phoneticPr fontId="6" type="noConversion"/>
  </si>
  <si>
    <t>象</t>
    <phoneticPr fontId="6" type="noConversion"/>
  </si>
  <si>
    <t>ui_s1_fight_zhuangbei_032_wugangche</t>
    <phoneticPr fontId="6" type="noConversion"/>
  </si>
  <si>
    <t>ui_s1_fight_zhuangbei_034_xufurenbishou</t>
    <phoneticPr fontId="6" type="noConversion"/>
  </si>
  <si>
    <t>ui_s1_fight_zhuangbei_035_hu</t>
    <phoneticPr fontId="6" type="noConversion"/>
  </si>
  <si>
    <t>ui_s1_fight_zhuangbei_036_she</t>
    <phoneticPr fontId="6" type="noConversion"/>
  </si>
  <si>
    <t>ui_s1_fight_zhuangbei_037_e</t>
    <phoneticPr fontId="6" type="noConversion"/>
  </si>
  <si>
    <t>ui_s1_fight_zhuangbei_038_ying</t>
    <phoneticPr fontId="6" type="noConversion"/>
  </si>
  <si>
    <t>ui_s1_fight_zhuangbei_039_xiang</t>
    <phoneticPr fontId="6" type="noConversion"/>
  </si>
  <si>
    <t>ui_s1_fight_card1_tu_hu</t>
    <phoneticPr fontId="6" type="noConversion"/>
  </si>
  <si>
    <t>ui_s1_fight_card1_tu_she</t>
    <phoneticPr fontId="6" type="noConversion"/>
  </si>
  <si>
    <t>ui_s1_fight_card1_tu_e</t>
    <phoneticPr fontId="6" type="noConversion"/>
  </si>
  <si>
    <t>ui_s1_fight_card1_tu_ying</t>
    <phoneticPr fontId="6" type="noConversion"/>
  </si>
  <si>
    <t>ui_s1_fight_card1_tu_xiang</t>
    <phoneticPr fontId="6" type="noConversion"/>
  </si>
  <si>
    <t>贯穿杀</t>
    <phoneticPr fontId="6" type="noConversion"/>
  </si>
  <si>
    <t>中毒杀</t>
    <phoneticPr fontId="6" type="noConversion"/>
  </si>
  <si>
    <t>烧毁杀</t>
    <phoneticPr fontId="6" type="noConversion"/>
  </si>
  <si>
    <t>劫牌杀</t>
    <phoneticPr fontId="6" type="noConversion"/>
  </si>
  <si>
    <t>增伤杀</t>
    <phoneticPr fontId="6" type="noConversion"/>
  </si>
  <si>
    <t>ui_s1_fight_km_name_hu</t>
    <phoneticPr fontId="6" type="noConversion"/>
  </si>
  <si>
    <t>ui_s1_fight_km_name_she</t>
    <phoneticPr fontId="6" type="noConversion"/>
  </si>
  <si>
    <t>ui_s1_fight_km_name_e</t>
    <phoneticPr fontId="6" type="noConversion"/>
  </si>
  <si>
    <t>ui_s1_fight_km_name_ying</t>
    <phoneticPr fontId="6" type="noConversion"/>
  </si>
  <si>
    <t>ui_s1_fight_km_name_xiang</t>
    <phoneticPr fontId="6" type="noConversion"/>
  </si>
  <si>
    <t>ui_s1_fight_km_name_guanchuansha</t>
    <phoneticPr fontId="6" type="noConversion"/>
  </si>
  <si>
    <t>ui_s1_fight_km_name_zhongdusha</t>
    <phoneticPr fontId="6" type="noConversion"/>
  </si>
  <si>
    <t>ui_s1_fight_km_name_shaohuisha</t>
    <phoneticPr fontId="6" type="noConversion"/>
  </si>
  <si>
    <t>ui_s1_fight_km_name_jiepaisha</t>
    <phoneticPr fontId="6" type="noConversion"/>
  </si>
  <si>
    <t>ui_s1_fight_km_name_zengshangsha</t>
    <phoneticPr fontId="6" type="noConversion"/>
  </si>
  <si>
    <t>杀</t>
    <phoneticPr fontId="6" type="noConversion"/>
  </si>
  <si>
    <t>传国玉玺</t>
    <phoneticPr fontId="6" type="noConversion"/>
  </si>
  <si>
    <t>ui_s1_fight_km_name_chuanguoyuxi</t>
    <phoneticPr fontId="6" type="noConversion"/>
  </si>
  <si>
    <t>ui_s1_fight_card1_tu_chuanguoyuxi</t>
    <phoneticPr fontId="6" type="noConversion"/>
  </si>
  <si>
    <t>玺</t>
    <phoneticPr fontId="6" type="noConversion"/>
  </si>
  <si>
    <t>ui_s1_fight_zhuangbei_040_chuanguoyuxi</t>
    <phoneticPr fontId="6" type="noConversion"/>
  </si>
  <si>
    <t>巫蛊人偶</t>
    <phoneticPr fontId="6" type="noConversion"/>
  </si>
  <si>
    <t>ui_s1_fight_card1_tu_wugurenou</t>
    <phoneticPr fontId="6" type="noConversion"/>
  </si>
  <si>
    <t>蛊</t>
    <phoneticPr fontId="6" type="noConversion"/>
  </si>
  <si>
    <t>玉钩</t>
    <phoneticPr fontId="6" type="noConversion"/>
  </si>
  <si>
    <t>ui_s1_fight_km_name_yugou</t>
    <phoneticPr fontId="6" type="noConversion"/>
  </si>
  <si>
    <t>ui_s1_fight_card1_tu_yugou</t>
    <phoneticPr fontId="6" type="noConversion"/>
  </si>
  <si>
    <t>钩</t>
    <phoneticPr fontId="6" type="noConversion"/>
  </si>
  <si>
    <t>ui_s1_fight_zhuangbei_041_yugou</t>
    <phoneticPr fontId="6" type="noConversion"/>
  </si>
  <si>
    <t>ui_s1_fight_km_name_wgro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</si>
</sst>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6017334513382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</borders>
  <cellStyleXfs count="4">
    <xf numFmtId="0" fontId="0" fillId="0" borderId="0"/>
    <xf numFmtId="0" fontId="1" fillId="0" borderId="0"/>
    <xf numFmtId="0" fontId="1" fillId="0" borderId="0">
      <alignment vertical="center"/>
    </xf>
    <xf numFmtId="0" fontId="1" fillId="0" borderId="0">
      <alignment vertical="center"/>
    </xf>
  </cellStyleXfs>
  <cellXfs count="19">
    <xf numFmtId="0" fontId="0" fillId="0" borderId="0" xfId="0"/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9" fontId="1" fillId="0" borderId="0" xfId="1" applyNumberForma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49" fontId="0" fillId="3" borderId="0" xfId="0" applyNumberFormat="1" applyFill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1" fillId="4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</cellXfs>
  <cellStyles count="4">
    <cellStyle name="常规" xfId="0" builtinId="0"/>
    <cellStyle name="常规 2" xfId="1" xr:uid="{00000000-0005-0000-0000-000031000000}"/>
    <cellStyle name="常规 5" xfId="2" xr:uid="{00000000-0005-0000-0000-000032000000}"/>
    <cellStyle name="常规 6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Q389"/>
  <sheetViews>
    <sheetView tabSelected="1" topLeftCell="A187" zoomScale="85" zoomScaleNormal="85" workbookViewId="0">
      <selection activeCell="E225" sqref="E225"/>
    </sheetView>
  </sheetViews>
  <sheetFormatPr defaultColWidth="9" defaultRowHeight="14" x14ac:dyDescent="0.3"/>
  <cols>
    <col min="1" max="1" width="11.58203125" style="3" customWidth="1"/>
    <col min="2" max="2" width="13" style="4" customWidth="1"/>
    <col min="3" max="3" width="13.83203125" style="4" customWidth="1"/>
    <col min="4" max="4" width="13" style="4" customWidth="1"/>
    <col min="5" max="5" width="36.83203125" style="4" customWidth="1"/>
    <col min="6" max="8" width="41.75" style="4" customWidth="1"/>
    <col min="9" max="9" width="26" style="3" customWidth="1"/>
    <col min="10" max="10" width="37.83203125" style="3" customWidth="1"/>
    <col min="11" max="11" width="26" style="3" customWidth="1"/>
    <col min="12" max="12" width="22.33203125" style="3" customWidth="1"/>
    <col min="13" max="17" width="9" style="3"/>
    <col min="18" max="19" width="43.33203125" style="3" customWidth="1"/>
    <col min="20" max="20" width="28.75" style="3" customWidth="1"/>
    <col min="21" max="21" width="16.83203125" style="3" customWidth="1"/>
    <col min="22" max="22" width="25.83203125" style="3" customWidth="1"/>
    <col min="23" max="16384" width="9" style="3"/>
  </cols>
  <sheetData>
    <row r="1" spans="1:173" s="1" customFormat="1" x14ac:dyDescent="0.3">
      <c r="A1" s="5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/>
      <c r="L1" s="8"/>
      <c r="M1" s="8"/>
      <c r="N1" s="3"/>
      <c r="O1" s="3"/>
      <c r="P1" s="3"/>
      <c r="Q1" s="5"/>
      <c r="R1" s="5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</row>
    <row r="2" spans="1:173" s="1" customFormat="1" x14ac:dyDescent="0.3">
      <c r="A2" s="4" t="s">
        <v>10</v>
      </c>
      <c r="B2" s="6" t="s">
        <v>11</v>
      </c>
      <c r="C2" s="8"/>
      <c r="D2" s="8"/>
      <c r="E2" s="8" t="s">
        <v>12</v>
      </c>
      <c r="F2" s="8" t="s">
        <v>12</v>
      </c>
      <c r="G2" s="8" t="s">
        <v>12</v>
      </c>
      <c r="H2" s="8" t="s">
        <v>12</v>
      </c>
      <c r="I2" s="8" t="s">
        <v>13</v>
      </c>
      <c r="J2" s="8" t="s">
        <v>12</v>
      </c>
      <c r="K2" s="8"/>
      <c r="L2" s="3"/>
      <c r="M2" s="3"/>
      <c r="N2" s="3"/>
      <c r="O2" s="3"/>
      <c r="P2" s="3"/>
      <c r="Q2" s="4"/>
      <c r="R2" s="5"/>
      <c r="S2" s="5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</row>
    <row r="3" spans="1:173" s="1" customFormat="1" x14ac:dyDescent="0.3">
      <c r="A3" s="4" t="s">
        <v>14</v>
      </c>
      <c r="B3" s="6" t="s">
        <v>15</v>
      </c>
      <c r="C3" s="8"/>
      <c r="D3" s="8"/>
      <c r="E3" s="8" t="s">
        <v>16</v>
      </c>
      <c r="F3" s="8" t="s">
        <v>17</v>
      </c>
      <c r="G3" s="8" t="s">
        <v>18</v>
      </c>
      <c r="H3" s="8" t="s">
        <v>19</v>
      </c>
      <c r="I3" s="8" t="s">
        <v>20</v>
      </c>
      <c r="J3" s="8" t="s">
        <v>21</v>
      </c>
      <c r="K3" s="8"/>
      <c r="L3" s="8"/>
      <c r="M3" s="3"/>
      <c r="N3" s="3"/>
      <c r="O3" s="3"/>
      <c r="P3" s="3"/>
      <c r="Q3" s="5"/>
      <c r="R3" s="5"/>
      <c r="S3" s="5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</row>
    <row r="4" spans="1:173" s="1" customFormat="1" x14ac:dyDescent="0.3">
      <c r="A4" s="5" t="s">
        <v>22</v>
      </c>
      <c r="B4" s="9" t="s">
        <v>23</v>
      </c>
      <c r="C4" s="5"/>
      <c r="D4" s="5"/>
      <c r="E4" s="5" t="s">
        <v>22</v>
      </c>
      <c r="F4" s="5" t="s">
        <v>22</v>
      </c>
      <c r="G4" s="5" t="s">
        <v>22</v>
      </c>
      <c r="H4" s="5" t="s">
        <v>22</v>
      </c>
      <c r="I4" s="5" t="s">
        <v>22</v>
      </c>
      <c r="J4" s="5" t="s">
        <v>22</v>
      </c>
      <c r="K4" s="5"/>
      <c r="L4" s="8"/>
      <c r="M4" s="3"/>
      <c r="N4" s="3"/>
      <c r="O4" s="3"/>
      <c r="P4" s="3"/>
      <c r="Q4" s="4"/>
      <c r="R4" s="5"/>
      <c r="S4" s="5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</row>
    <row r="5" spans="1:173" x14ac:dyDescent="0.3">
      <c r="A5" s="3">
        <v>1001</v>
      </c>
      <c r="B5" s="5" t="s">
        <v>24</v>
      </c>
      <c r="C5" s="5" t="s">
        <v>25</v>
      </c>
      <c r="D5" s="5" t="s">
        <v>25</v>
      </c>
      <c r="E5" s="8" t="str">
        <f>IF(INDEX(R$8:R$67,MATCH($B5,$Q$8:$Q$67,0))=0,"",INDEX(R$8:R$67,MATCH($B5,$Q$8:$Q$67,0)))</f>
        <v>ui_s1_fight_km_name_wanjianqifa</v>
      </c>
      <c r="F5" s="8" t="str">
        <f>IF(INDEX(S$8:S$67,MATCH($B5,$Q$8:$Q$67,0))=0,"",INDEX(S$8:S$67,MATCH($B5,$Q$8:$Q$67,0)))</f>
        <v>ui_s1_fight_card1_tu_wjqf</v>
      </c>
      <c r="G5" s="8" t="str">
        <f>IF(INDEX(T$8:T$67,MATCH($B5,$Q$8:$Q$67,0))=0,"",INDEX(T$8:T$67,MATCH($B5,$Q$8:$Q$67,0)))</f>
        <v/>
      </c>
      <c r="H5" s="8" t="s">
        <v>26</v>
      </c>
      <c r="I5" s="8" t="str">
        <f>IF(INDEX(U$8:U$67,MATCH($B5,$Q$8:$Q$67,0))=0,"",INDEX(U$8:U$67,MATCH($B5,$Q$8:$Q$67,0)))</f>
        <v>Vo_Skill_Wanjianqifa</v>
      </c>
      <c r="J5" s="8" t="str">
        <f>IF(INDEX(V$8:V$67,MATCH($B5,$Q$8:$Q$67,0))=0,"",INDEX(V$8:V$67,MATCH($B5,$Q$8:$Q$67,0)))</f>
        <v/>
      </c>
      <c r="Q5" s="4"/>
      <c r="R5" s="5"/>
      <c r="S5" s="5"/>
    </row>
    <row r="6" spans="1:173" x14ac:dyDescent="0.3">
      <c r="A6" s="3">
        <v>1002</v>
      </c>
      <c r="B6" s="5" t="s">
        <v>27</v>
      </c>
      <c r="C6" s="5" t="s">
        <v>25</v>
      </c>
      <c r="D6" s="5" t="s">
        <v>28</v>
      </c>
      <c r="E6" s="8" t="str">
        <f t="shared" ref="E6:E69" si="0">IF(INDEX(R$8:R$67,MATCH($B6,$Q$8:$Q$67,0))=0,"",INDEX(R$8:R$67,MATCH($B6,$Q$8:$Q$67,0)))</f>
        <v>ui_s1_fight_km_name_lyq</v>
      </c>
      <c r="F6" s="8" t="str">
        <f t="shared" ref="F6:F69" si="1">IF(INDEX(S$8:S$67,MATCH($B6,$Q$8:$Q$67,0))=0,"",INDEX(S$8:S$67,MATCH($B6,$Q$8:$Q$67,0)))</f>
        <v>ui_s1_fight_card1_tu_liangyinqiang</v>
      </c>
      <c r="G6" s="8" t="str">
        <f t="shared" ref="G6:G69" si="2">IF(INDEX(T$8:T$67,MATCH($B6,$Q$8:$Q$67,0))=0,"",INDEX(T$8:T$67,MATCH($B6,$Q$8:$Q$67,0)))</f>
        <v/>
      </c>
      <c r="H6" s="8" t="s">
        <v>29</v>
      </c>
      <c r="I6" s="8" t="str">
        <f t="shared" ref="I6:I69" si="3">IF(INDEX(U$8:U$67,MATCH($B6,$Q$8:$Q$67,0))=0,"",INDEX(U$8:U$67,MATCH($B6,$Q$8:$Q$67,0)))</f>
        <v>AudioNull</v>
      </c>
      <c r="J6" s="8" t="str">
        <f t="shared" ref="J6:J69" si="4">IF(INDEX(V$8:V$67,MATCH($B6,$Q$8:$Q$67,0))=0,"",INDEX(V$8:V$67,MATCH($B6,$Q$8:$Q$67,0)))</f>
        <v>ui_s1_fight_zhuangbei_012_liangyinqiang</v>
      </c>
      <c r="Q6" s="5"/>
      <c r="R6" s="5"/>
      <c r="S6" s="5"/>
    </row>
    <row r="7" spans="1:173" x14ac:dyDescent="0.3">
      <c r="A7" s="3">
        <v>1003</v>
      </c>
      <c r="B7" s="4" t="s">
        <v>30</v>
      </c>
      <c r="C7" s="5" t="s">
        <v>25</v>
      </c>
      <c r="D7" s="5" t="s">
        <v>31</v>
      </c>
      <c r="E7" s="8" t="str">
        <f t="shared" si="0"/>
        <v>ui_s1_fight_km_chongsha</v>
      </c>
      <c r="F7" s="8" t="str">
        <f t="shared" si="1"/>
        <v>ui_s1_fight_card1_tu_sha</v>
      </c>
      <c r="G7" s="8" t="str">
        <f t="shared" si="2"/>
        <v/>
      </c>
      <c r="H7" s="8" t="s">
        <v>30</v>
      </c>
      <c r="I7" s="8" t="str">
        <f t="shared" si="3"/>
        <v>AudioNull</v>
      </c>
      <c r="J7" s="8" t="str">
        <f t="shared" si="4"/>
        <v/>
      </c>
      <c r="Q7" s="6" t="s">
        <v>1</v>
      </c>
      <c r="R7" s="8" t="s">
        <v>4</v>
      </c>
      <c r="S7" s="7" t="s">
        <v>5</v>
      </c>
      <c r="T7" s="7" t="s">
        <v>6</v>
      </c>
      <c r="U7" s="10" t="s">
        <v>8</v>
      </c>
      <c r="V7" s="10" t="s">
        <v>9</v>
      </c>
    </row>
    <row r="8" spans="1:173" x14ac:dyDescent="0.3">
      <c r="A8" s="3">
        <v>1004</v>
      </c>
      <c r="B8" s="4" t="s">
        <v>32</v>
      </c>
      <c r="C8" s="5" t="s">
        <v>25</v>
      </c>
      <c r="D8" s="5" t="s">
        <v>33</v>
      </c>
      <c r="E8" s="8" t="str">
        <f t="shared" si="0"/>
        <v>ui_s1_fight_km_name_qlyyd</v>
      </c>
      <c r="F8" s="8" t="str">
        <f t="shared" si="1"/>
        <v>ui_s1_fight_card1_tu_qinglongyanyuedao</v>
      </c>
      <c r="G8" s="8" t="str">
        <f t="shared" si="2"/>
        <v/>
      </c>
      <c r="H8" s="8" t="s">
        <v>34</v>
      </c>
      <c r="I8" s="8" t="str">
        <f t="shared" si="3"/>
        <v>AudioNull</v>
      </c>
      <c r="J8" s="8" t="str">
        <f t="shared" si="4"/>
        <v>ui_s1_fight_zhuangbei_008_qinglongyanyuedao</v>
      </c>
      <c r="Q8" s="5" t="s">
        <v>24</v>
      </c>
      <c r="R8" s="8" t="s">
        <v>35</v>
      </c>
      <c r="S8" s="8" t="s">
        <v>36</v>
      </c>
      <c r="T8" s="8"/>
      <c r="U8" s="3" t="s">
        <v>37</v>
      </c>
    </row>
    <row r="9" spans="1:173" x14ac:dyDescent="0.3">
      <c r="A9" s="3">
        <v>1005</v>
      </c>
      <c r="B9" s="5" t="s">
        <v>38</v>
      </c>
      <c r="C9" s="5" t="s">
        <v>25</v>
      </c>
      <c r="D9" s="5" t="s">
        <v>39</v>
      </c>
      <c r="E9" s="8" t="str">
        <f t="shared" si="0"/>
        <v>ui_s1_fight_km_name_zqdj</v>
      </c>
      <c r="F9" s="8" t="str">
        <f t="shared" si="1"/>
        <v>ui_s1_fight_card1_tu_tongyong_zhenqianduijue</v>
      </c>
      <c r="G9" s="8" t="str">
        <f t="shared" si="2"/>
        <v/>
      </c>
      <c r="H9" s="8" t="s">
        <v>40</v>
      </c>
      <c r="I9" s="8" t="str">
        <f t="shared" si="3"/>
        <v>AudioNull</v>
      </c>
      <c r="J9" s="8" t="str">
        <f t="shared" si="4"/>
        <v/>
      </c>
      <c r="Q9" s="5" t="s">
        <v>27</v>
      </c>
      <c r="R9" s="8" t="s">
        <v>41</v>
      </c>
      <c r="S9" s="8" t="s">
        <v>42</v>
      </c>
      <c r="T9" s="8"/>
      <c r="U9" s="3" t="s">
        <v>43</v>
      </c>
      <c r="V9" s="8" t="s">
        <v>44</v>
      </c>
    </row>
    <row r="10" spans="1:173" x14ac:dyDescent="0.3">
      <c r="A10" s="3">
        <v>1006</v>
      </c>
      <c r="B10" s="5" t="s">
        <v>45</v>
      </c>
      <c r="C10" s="5" t="s">
        <v>25</v>
      </c>
      <c r="D10" s="5" t="s">
        <v>46</v>
      </c>
      <c r="E10" s="8" t="str">
        <f t="shared" si="0"/>
        <v>ui_s1_fight_km_name_jdsr</v>
      </c>
      <c r="F10" s="8" t="str">
        <f t="shared" si="1"/>
        <v>ui_s1_fight_card1_tu_jiedaosharen</v>
      </c>
      <c r="G10" s="8" t="str">
        <f t="shared" si="2"/>
        <v/>
      </c>
      <c r="H10" s="8" t="s">
        <v>47</v>
      </c>
      <c r="I10" s="8" t="str">
        <f t="shared" si="3"/>
        <v>AudioNull</v>
      </c>
      <c r="J10" s="8" t="str">
        <f t="shared" si="4"/>
        <v/>
      </c>
      <c r="Q10" s="11" t="s">
        <v>30</v>
      </c>
      <c r="R10" s="12" t="s">
        <v>48</v>
      </c>
      <c r="S10" s="8" t="s">
        <v>49</v>
      </c>
      <c r="T10" s="8"/>
      <c r="U10" s="3" t="s">
        <v>43</v>
      </c>
    </row>
    <row r="11" spans="1:173" x14ac:dyDescent="0.3">
      <c r="A11" s="3">
        <v>1007</v>
      </c>
      <c r="B11" s="5" t="s">
        <v>50</v>
      </c>
      <c r="C11" s="5" t="s">
        <v>25</v>
      </c>
      <c r="D11" s="5" t="s">
        <v>51</v>
      </c>
      <c r="E11" s="8" t="str">
        <f t="shared" si="0"/>
        <v>ui_s1_fight_km_name_tiesuolianzhou</v>
      </c>
      <c r="F11" s="8" t="str">
        <f t="shared" si="1"/>
        <v>ui_s1_fight_card1_tu_tslz</v>
      </c>
      <c r="G11" s="8" t="str">
        <f t="shared" si="2"/>
        <v/>
      </c>
      <c r="H11" s="8" t="s">
        <v>52</v>
      </c>
      <c r="I11" s="8" t="str">
        <f t="shared" si="3"/>
        <v>AudioNull</v>
      </c>
      <c r="J11" s="8" t="str">
        <f t="shared" si="4"/>
        <v/>
      </c>
      <c r="Q11" s="4" t="s">
        <v>32</v>
      </c>
      <c r="R11" s="12" t="s">
        <v>53</v>
      </c>
      <c r="S11" s="8" t="s">
        <v>54</v>
      </c>
      <c r="T11" s="8"/>
      <c r="U11" s="3" t="s">
        <v>43</v>
      </c>
      <c r="V11" s="8" t="s">
        <v>55</v>
      </c>
    </row>
    <row r="12" spans="1:173" x14ac:dyDescent="0.3">
      <c r="A12" s="3">
        <v>1008</v>
      </c>
      <c r="B12" s="5" t="s">
        <v>56</v>
      </c>
      <c r="C12" s="5" t="s">
        <v>25</v>
      </c>
      <c r="D12" s="5" t="s">
        <v>57</v>
      </c>
      <c r="E12" s="8" t="str">
        <f t="shared" si="0"/>
        <v>ui_s1_fight_km_name_ksf</v>
      </c>
      <c r="F12" s="8" t="str">
        <f t="shared" si="1"/>
        <v>ui_s1_fight_card1_tu_kaitianfu</v>
      </c>
      <c r="G12" s="8" t="str">
        <f t="shared" si="2"/>
        <v/>
      </c>
      <c r="H12" s="8" t="s">
        <v>58</v>
      </c>
      <c r="I12" s="8" t="str">
        <f t="shared" si="3"/>
        <v>AudioNull</v>
      </c>
      <c r="J12" s="8" t="str">
        <f t="shared" si="4"/>
        <v>ui_s1_fight_zhuangbei_002_kaishanfu</v>
      </c>
      <c r="Q12" s="5" t="s">
        <v>38</v>
      </c>
      <c r="R12" s="8" t="s">
        <v>59</v>
      </c>
      <c r="S12" s="8" t="s">
        <v>60</v>
      </c>
      <c r="T12" s="8"/>
      <c r="U12" s="3" t="s">
        <v>43</v>
      </c>
    </row>
    <row r="13" spans="1:173" x14ac:dyDescent="0.3">
      <c r="A13" s="3">
        <v>1009</v>
      </c>
      <c r="B13" s="4" t="s">
        <v>61</v>
      </c>
      <c r="C13" s="5" t="s">
        <v>25</v>
      </c>
      <c r="D13" s="5" t="s">
        <v>25</v>
      </c>
      <c r="E13" s="8" t="str">
        <f t="shared" si="0"/>
        <v>ui_s1_fight_km_name_xyj</v>
      </c>
      <c r="F13" s="8" t="str">
        <f t="shared" si="1"/>
        <v>ui_s1_fight_card1_tu_xuanyuanjian</v>
      </c>
      <c r="G13" s="8" t="str">
        <f t="shared" si="2"/>
        <v/>
      </c>
      <c r="H13" s="8" t="s">
        <v>62</v>
      </c>
      <c r="I13" s="8" t="str">
        <f t="shared" si="3"/>
        <v>AudioNull</v>
      </c>
      <c r="J13" s="8" t="str">
        <f t="shared" si="4"/>
        <v>ui_s1_fight_zhuangbei_001_xuanyuanjian</v>
      </c>
      <c r="Q13" s="5" t="s">
        <v>45</v>
      </c>
      <c r="R13" s="8" t="s">
        <v>63</v>
      </c>
      <c r="S13" s="8" t="s">
        <v>64</v>
      </c>
      <c r="T13" s="8"/>
      <c r="U13" s="3" t="s">
        <v>43</v>
      </c>
    </row>
    <row r="14" spans="1:173" x14ac:dyDescent="0.3">
      <c r="A14" s="3">
        <v>1010</v>
      </c>
      <c r="B14" s="5" t="s">
        <v>30</v>
      </c>
      <c r="C14" s="5" t="s">
        <v>25</v>
      </c>
      <c r="D14" s="5" t="s">
        <v>28</v>
      </c>
      <c r="E14" s="8" t="str">
        <f t="shared" si="0"/>
        <v>ui_s1_fight_km_chongsha</v>
      </c>
      <c r="F14" s="8" t="str">
        <f t="shared" si="1"/>
        <v>ui_s1_fight_card1_tu_sha</v>
      </c>
      <c r="G14" s="8" t="str">
        <f t="shared" si="2"/>
        <v/>
      </c>
      <c r="H14" s="8" t="s">
        <v>30</v>
      </c>
      <c r="I14" s="8" t="str">
        <f t="shared" si="3"/>
        <v>AudioNull</v>
      </c>
      <c r="J14" s="8" t="str">
        <f t="shared" si="4"/>
        <v/>
      </c>
      <c r="Q14" s="5" t="s">
        <v>50</v>
      </c>
      <c r="R14" s="8" t="s">
        <v>65</v>
      </c>
      <c r="S14" s="8" t="s">
        <v>66</v>
      </c>
      <c r="T14" s="8"/>
      <c r="U14" s="3" t="s">
        <v>43</v>
      </c>
    </row>
    <row r="15" spans="1:173" x14ac:dyDescent="0.3">
      <c r="A15" s="3">
        <v>1011</v>
      </c>
      <c r="B15" s="4" t="s">
        <v>30</v>
      </c>
      <c r="C15" s="5" t="s">
        <v>25</v>
      </c>
      <c r="D15" s="5" t="s">
        <v>31</v>
      </c>
      <c r="E15" s="8" t="str">
        <f t="shared" si="0"/>
        <v>ui_s1_fight_km_chongsha</v>
      </c>
      <c r="F15" s="8" t="str">
        <f t="shared" si="1"/>
        <v>ui_s1_fight_card1_tu_sha</v>
      </c>
      <c r="G15" s="8" t="str">
        <f t="shared" si="2"/>
        <v/>
      </c>
      <c r="H15" s="8" t="s">
        <v>30</v>
      </c>
      <c r="I15" s="8" t="str">
        <f t="shared" si="3"/>
        <v>AudioNull</v>
      </c>
      <c r="J15" s="8" t="str">
        <f t="shared" si="4"/>
        <v/>
      </c>
      <c r="Q15" s="5" t="s">
        <v>56</v>
      </c>
      <c r="R15" s="8" t="s">
        <v>67</v>
      </c>
      <c r="S15" s="8" t="s">
        <v>68</v>
      </c>
      <c r="T15" s="8"/>
      <c r="U15" s="3" t="s">
        <v>43</v>
      </c>
      <c r="V15" s="8" t="s">
        <v>69</v>
      </c>
    </row>
    <row r="16" spans="1:173" x14ac:dyDescent="0.3">
      <c r="A16" s="3">
        <v>1012</v>
      </c>
      <c r="B16" s="5" t="s">
        <v>30</v>
      </c>
      <c r="C16" s="5" t="s">
        <v>25</v>
      </c>
      <c r="D16" s="5" t="s">
        <v>33</v>
      </c>
      <c r="E16" s="8" t="str">
        <f t="shared" si="0"/>
        <v>ui_s1_fight_km_chongsha</v>
      </c>
      <c r="F16" s="8" t="str">
        <f t="shared" si="1"/>
        <v>ui_s1_fight_card1_tu_sha</v>
      </c>
      <c r="G16" s="8" t="str">
        <f t="shared" si="2"/>
        <v/>
      </c>
      <c r="H16" s="8" t="s">
        <v>30</v>
      </c>
      <c r="I16" s="8" t="str">
        <f t="shared" si="3"/>
        <v>AudioNull</v>
      </c>
      <c r="J16" s="8" t="str">
        <f t="shared" si="4"/>
        <v/>
      </c>
      <c r="Q16" s="4" t="s">
        <v>61</v>
      </c>
      <c r="R16" s="8" t="s">
        <v>70</v>
      </c>
      <c r="S16" s="8" t="s">
        <v>71</v>
      </c>
      <c r="T16" s="8"/>
      <c r="U16" s="3" t="s">
        <v>43</v>
      </c>
      <c r="V16" s="8" t="s">
        <v>72</v>
      </c>
    </row>
    <row r="17" spans="1:22" x14ac:dyDescent="0.3">
      <c r="A17" s="3">
        <v>1013</v>
      </c>
      <c r="B17" s="5" t="s">
        <v>38</v>
      </c>
      <c r="C17" s="5" t="s">
        <v>25</v>
      </c>
      <c r="D17" s="5" t="s">
        <v>39</v>
      </c>
      <c r="E17" s="8" t="str">
        <f t="shared" si="0"/>
        <v>ui_s1_fight_km_name_zqdj</v>
      </c>
      <c r="F17" s="8" t="str">
        <f t="shared" si="1"/>
        <v>ui_s1_fight_card1_tu_tongyong_zhenqianduijue</v>
      </c>
      <c r="G17" s="8" t="str">
        <f t="shared" si="2"/>
        <v/>
      </c>
      <c r="H17" s="8" t="s">
        <v>40</v>
      </c>
      <c r="I17" s="8" t="str">
        <f t="shared" si="3"/>
        <v>AudioNull</v>
      </c>
      <c r="J17" s="8" t="str">
        <f t="shared" si="4"/>
        <v/>
      </c>
      <c r="Q17" s="11" t="s">
        <v>30</v>
      </c>
      <c r="R17" s="8" t="s">
        <v>73</v>
      </c>
      <c r="S17" s="8" t="s">
        <v>49</v>
      </c>
      <c r="T17" s="8"/>
      <c r="U17" s="3" t="s">
        <v>43</v>
      </c>
    </row>
    <row r="18" spans="1:22" x14ac:dyDescent="0.3">
      <c r="A18" s="3">
        <v>1014</v>
      </c>
      <c r="B18" s="5" t="s">
        <v>45</v>
      </c>
      <c r="C18" s="5" t="s">
        <v>25</v>
      </c>
      <c r="D18" s="5" t="s">
        <v>46</v>
      </c>
      <c r="E18" s="8" t="str">
        <f t="shared" si="0"/>
        <v>ui_s1_fight_km_name_jdsr</v>
      </c>
      <c r="F18" s="8" t="str">
        <f t="shared" si="1"/>
        <v>ui_s1_fight_card1_tu_jiedaosharen</v>
      </c>
      <c r="G18" s="8" t="str">
        <f t="shared" si="2"/>
        <v/>
      </c>
      <c r="H18" s="8" t="s">
        <v>47</v>
      </c>
      <c r="I18" s="8" t="str">
        <f t="shared" si="3"/>
        <v>AudioNull</v>
      </c>
      <c r="J18" s="8" t="str">
        <f t="shared" si="4"/>
        <v/>
      </c>
      <c r="Q18" s="5" t="s">
        <v>74</v>
      </c>
      <c r="R18" s="8" t="s">
        <v>75</v>
      </c>
      <c r="S18" s="8" t="s">
        <v>76</v>
      </c>
      <c r="T18" s="8"/>
      <c r="U18" s="3" t="s">
        <v>43</v>
      </c>
      <c r="V18" s="8" t="s">
        <v>77</v>
      </c>
    </row>
    <row r="19" spans="1:22" x14ac:dyDescent="0.3">
      <c r="A19" s="3">
        <v>1015</v>
      </c>
      <c r="B19" s="5" t="s">
        <v>50</v>
      </c>
      <c r="C19" s="5" t="s">
        <v>25</v>
      </c>
      <c r="D19" s="5" t="s">
        <v>51</v>
      </c>
      <c r="E19" s="8" t="str">
        <f t="shared" si="0"/>
        <v>ui_s1_fight_km_name_tiesuolianzhou</v>
      </c>
      <c r="F19" s="8" t="str">
        <f t="shared" si="1"/>
        <v>ui_s1_fight_card1_tu_tslz</v>
      </c>
      <c r="G19" s="8" t="str">
        <f t="shared" si="2"/>
        <v/>
      </c>
      <c r="H19" s="8" t="s">
        <v>52</v>
      </c>
      <c r="I19" s="8" t="str">
        <f t="shared" si="3"/>
        <v>AudioNull</v>
      </c>
      <c r="J19" s="8" t="str">
        <f t="shared" si="4"/>
        <v/>
      </c>
      <c r="Q19" s="5" t="s">
        <v>78</v>
      </c>
      <c r="R19" s="8" t="s">
        <v>79</v>
      </c>
      <c r="S19" s="8" t="s">
        <v>80</v>
      </c>
      <c r="T19" s="8"/>
      <c r="U19" s="3" t="s">
        <v>43</v>
      </c>
      <c r="V19" s="8" t="s">
        <v>81</v>
      </c>
    </row>
    <row r="20" spans="1:22" x14ac:dyDescent="0.3">
      <c r="A20" s="3">
        <v>1016</v>
      </c>
      <c r="B20" s="5" t="s">
        <v>74</v>
      </c>
      <c r="C20" s="5" t="s">
        <v>25</v>
      </c>
      <c r="D20" s="5" t="s">
        <v>57</v>
      </c>
      <c r="E20" s="8" t="str">
        <f t="shared" si="0"/>
        <v>ui_s1_fight_km_mhd</v>
      </c>
      <c r="F20" s="8" t="str">
        <f t="shared" si="1"/>
        <v>ui_s1_fight_card1_tu_tongyong_minghongdao</v>
      </c>
      <c r="G20" s="8" t="str">
        <f t="shared" si="2"/>
        <v/>
      </c>
      <c r="H20" s="8" t="s">
        <v>82</v>
      </c>
      <c r="I20" s="8" t="str">
        <f t="shared" si="3"/>
        <v>AudioNull</v>
      </c>
      <c r="J20" s="8" t="str">
        <f t="shared" si="4"/>
        <v>ui_s1_fight_zhuangbei_003_minghongdao</v>
      </c>
      <c r="Q20" s="5" t="s">
        <v>83</v>
      </c>
      <c r="R20" s="8" t="s">
        <v>84</v>
      </c>
      <c r="S20" s="8" t="s">
        <v>85</v>
      </c>
      <c r="T20" s="8"/>
      <c r="U20" s="3" t="s">
        <v>43</v>
      </c>
      <c r="V20" s="8" t="s">
        <v>86</v>
      </c>
    </row>
    <row r="21" spans="1:22" x14ac:dyDescent="0.3">
      <c r="A21" s="3">
        <v>1017</v>
      </c>
      <c r="B21" s="5" t="s">
        <v>78</v>
      </c>
      <c r="C21" s="5" t="s">
        <v>25</v>
      </c>
      <c r="D21" s="5" t="s">
        <v>25</v>
      </c>
      <c r="E21" s="8" t="str">
        <f t="shared" si="0"/>
        <v>ui_s1_fight_km_name_fthj</v>
      </c>
      <c r="F21" s="8" t="str">
        <f t="shared" si="1"/>
        <v>ui_s1_fight_card1_tu_fangtianhuaji</v>
      </c>
      <c r="G21" s="8" t="str">
        <f t="shared" si="2"/>
        <v/>
      </c>
      <c r="H21" s="8" t="s">
        <v>87</v>
      </c>
      <c r="I21" s="8" t="str">
        <f t="shared" si="3"/>
        <v>AudioNull</v>
      </c>
      <c r="J21" s="8" t="str">
        <f t="shared" si="4"/>
        <v>ui_s1_fight_zhuangbei_007_fangtianhuaji</v>
      </c>
      <c r="Q21" s="5" t="s">
        <v>88</v>
      </c>
      <c r="R21" s="8" t="s">
        <v>89</v>
      </c>
      <c r="S21" s="8" t="s">
        <v>90</v>
      </c>
      <c r="T21" s="8"/>
      <c r="U21" s="3" t="s">
        <v>43</v>
      </c>
      <c r="V21" s="3" t="s">
        <v>91</v>
      </c>
    </row>
    <row r="22" spans="1:22" x14ac:dyDescent="0.3">
      <c r="A22" s="3">
        <v>1018</v>
      </c>
      <c r="B22" s="5" t="s">
        <v>83</v>
      </c>
      <c r="C22" s="5" t="s">
        <v>25</v>
      </c>
      <c r="D22" s="5" t="s">
        <v>28</v>
      </c>
      <c r="E22" s="8" t="str">
        <f t="shared" si="0"/>
        <v>ui_s1_fight_km_name_gjmy</v>
      </c>
      <c r="F22" s="8" t="str">
        <f t="shared" si="1"/>
        <v>ui_s1_fight_card1_tu_ganjiangmoye</v>
      </c>
      <c r="G22" s="8" t="str">
        <f t="shared" si="2"/>
        <v/>
      </c>
      <c r="H22" s="8" t="s">
        <v>92</v>
      </c>
      <c r="I22" s="8" t="str">
        <f t="shared" si="3"/>
        <v>AudioNull</v>
      </c>
      <c r="J22" s="8" t="str">
        <f t="shared" si="4"/>
        <v>ui_s1_fight_zhuangbei_006_ganjiangmoye</v>
      </c>
      <c r="Q22" s="5" t="s">
        <v>93</v>
      </c>
      <c r="R22" s="8" t="s">
        <v>94</v>
      </c>
      <c r="S22" s="8" t="s">
        <v>95</v>
      </c>
      <c r="T22" s="8"/>
      <c r="U22" s="3" t="s">
        <v>43</v>
      </c>
      <c r="V22" s="8" t="s">
        <v>96</v>
      </c>
    </row>
    <row r="23" spans="1:22" x14ac:dyDescent="0.3">
      <c r="A23" s="3">
        <v>1019</v>
      </c>
      <c r="B23" s="4" t="s">
        <v>30</v>
      </c>
      <c r="C23" s="5" t="s">
        <v>25</v>
      </c>
      <c r="D23" s="5" t="s">
        <v>31</v>
      </c>
      <c r="E23" s="8" t="str">
        <f t="shared" si="0"/>
        <v>ui_s1_fight_km_chongsha</v>
      </c>
      <c r="F23" s="8" t="str">
        <f t="shared" si="1"/>
        <v>ui_s1_fight_card1_tu_sha</v>
      </c>
      <c r="G23" s="8" t="str">
        <f t="shared" si="2"/>
        <v/>
      </c>
      <c r="H23" s="8" t="s">
        <v>30</v>
      </c>
      <c r="I23" s="8" t="str">
        <f t="shared" si="3"/>
        <v>AudioNull</v>
      </c>
      <c r="J23" s="8" t="str">
        <f t="shared" si="4"/>
        <v/>
      </c>
      <c r="Q23" s="5" t="s">
        <v>97</v>
      </c>
      <c r="R23" s="8" t="s">
        <v>98</v>
      </c>
      <c r="S23" s="8" t="s">
        <v>99</v>
      </c>
      <c r="T23" s="8"/>
      <c r="U23" s="3" t="s">
        <v>43</v>
      </c>
      <c r="V23" s="8" t="s">
        <v>100</v>
      </c>
    </row>
    <row r="24" spans="1:22" x14ac:dyDescent="0.3">
      <c r="A24" s="3">
        <v>1020</v>
      </c>
      <c r="B24" s="5" t="s">
        <v>30</v>
      </c>
      <c r="C24" s="5" t="s">
        <v>25</v>
      </c>
      <c r="D24" s="5" t="s">
        <v>33</v>
      </c>
      <c r="E24" s="8" t="str">
        <f t="shared" si="0"/>
        <v>ui_s1_fight_km_chongsha</v>
      </c>
      <c r="F24" s="8" t="str">
        <f t="shared" si="1"/>
        <v>ui_s1_fight_card1_tu_sha</v>
      </c>
      <c r="G24" s="8" t="str">
        <f t="shared" si="2"/>
        <v/>
      </c>
      <c r="H24" s="8" t="s">
        <v>30</v>
      </c>
      <c r="I24" s="8" t="str">
        <f t="shared" si="3"/>
        <v>AudioNull</v>
      </c>
      <c r="J24" s="8" t="str">
        <f t="shared" si="4"/>
        <v/>
      </c>
      <c r="Q24" s="5" t="s">
        <v>101</v>
      </c>
      <c r="R24" s="8" t="s">
        <v>102</v>
      </c>
      <c r="S24" s="8" t="s">
        <v>103</v>
      </c>
      <c r="T24" s="8"/>
      <c r="U24" s="3" t="s">
        <v>43</v>
      </c>
      <c r="V24" s="8" t="s">
        <v>104</v>
      </c>
    </row>
    <row r="25" spans="1:22" x14ac:dyDescent="0.3">
      <c r="A25" s="3">
        <v>1021</v>
      </c>
      <c r="B25" s="5" t="s">
        <v>38</v>
      </c>
      <c r="C25" s="5" t="s">
        <v>25</v>
      </c>
      <c r="D25" s="5" t="s">
        <v>39</v>
      </c>
      <c r="E25" s="8" t="str">
        <f t="shared" si="0"/>
        <v>ui_s1_fight_km_name_zqdj</v>
      </c>
      <c r="F25" s="8" t="str">
        <f t="shared" si="1"/>
        <v>ui_s1_fight_card1_tu_tongyong_zhenqianduijue</v>
      </c>
      <c r="G25" s="8" t="str">
        <f t="shared" si="2"/>
        <v/>
      </c>
      <c r="H25" s="8" t="s">
        <v>40</v>
      </c>
      <c r="I25" s="8" t="str">
        <f t="shared" si="3"/>
        <v>AudioNull</v>
      </c>
      <c r="J25" s="8" t="str">
        <f t="shared" si="4"/>
        <v/>
      </c>
      <c r="Q25" s="5" t="s">
        <v>105</v>
      </c>
      <c r="R25" s="8" t="s">
        <v>106</v>
      </c>
      <c r="S25" s="8" t="s">
        <v>107</v>
      </c>
      <c r="T25" s="4"/>
      <c r="U25" s="3" t="s">
        <v>43</v>
      </c>
      <c r="V25" s="8" t="s">
        <v>108</v>
      </c>
    </row>
    <row r="26" spans="1:22" x14ac:dyDescent="0.3">
      <c r="A26" s="3">
        <v>1022</v>
      </c>
      <c r="B26" s="4" t="s">
        <v>30</v>
      </c>
      <c r="C26" s="5" t="s">
        <v>25</v>
      </c>
      <c r="D26" s="5" t="s">
        <v>46</v>
      </c>
      <c r="E26" s="8" t="str">
        <f t="shared" si="0"/>
        <v>ui_s1_fight_km_chongsha</v>
      </c>
      <c r="F26" s="8" t="str">
        <f t="shared" si="1"/>
        <v>ui_s1_fight_card1_tu_sha</v>
      </c>
      <c r="G26" s="8" t="str">
        <f t="shared" si="2"/>
        <v/>
      </c>
      <c r="H26" s="8" t="s">
        <v>30</v>
      </c>
      <c r="I26" s="8" t="str">
        <f t="shared" si="3"/>
        <v>AudioNull</v>
      </c>
      <c r="J26" s="8" t="str">
        <f t="shared" si="4"/>
        <v/>
      </c>
      <c r="Q26" s="5" t="s">
        <v>109</v>
      </c>
      <c r="R26" s="8" t="s">
        <v>110</v>
      </c>
      <c r="S26" s="8" t="s">
        <v>111</v>
      </c>
      <c r="T26" s="8"/>
      <c r="U26" s="3" t="s">
        <v>43</v>
      </c>
    </row>
    <row r="27" spans="1:22" x14ac:dyDescent="0.3">
      <c r="A27" s="3">
        <v>1023</v>
      </c>
      <c r="B27" s="5" t="s">
        <v>50</v>
      </c>
      <c r="C27" s="5" t="s">
        <v>25</v>
      </c>
      <c r="D27" s="5" t="s">
        <v>51</v>
      </c>
      <c r="E27" s="8" t="str">
        <f t="shared" si="0"/>
        <v>ui_s1_fight_km_name_tiesuolianzhou</v>
      </c>
      <c r="F27" s="8" t="str">
        <f t="shared" si="1"/>
        <v>ui_s1_fight_card1_tu_tslz</v>
      </c>
      <c r="G27" s="8" t="str">
        <f t="shared" si="2"/>
        <v/>
      </c>
      <c r="H27" s="8" t="s">
        <v>52</v>
      </c>
      <c r="I27" s="8" t="str">
        <f t="shared" si="3"/>
        <v>AudioNull</v>
      </c>
      <c r="J27" s="8" t="str">
        <f t="shared" si="4"/>
        <v/>
      </c>
      <c r="Q27" s="5" t="s">
        <v>112</v>
      </c>
      <c r="R27" s="8" t="s">
        <v>113</v>
      </c>
      <c r="S27" s="8" t="s">
        <v>114</v>
      </c>
      <c r="T27" s="8"/>
      <c r="U27" s="3" t="s">
        <v>43</v>
      </c>
    </row>
    <row r="28" spans="1:22" x14ac:dyDescent="0.3">
      <c r="A28" s="3">
        <v>1024</v>
      </c>
      <c r="B28" s="5" t="s">
        <v>30</v>
      </c>
      <c r="C28" s="5" t="s">
        <v>25</v>
      </c>
      <c r="D28" s="5" t="s">
        <v>57</v>
      </c>
      <c r="E28" s="8" t="str">
        <f t="shared" si="0"/>
        <v>ui_s1_fight_km_chongsha</v>
      </c>
      <c r="F28" s="8" t="str">
        <f t="shared" si="1"/>
        <v>ui_s1_fight_card1_tu_sha</v>
      </c>
      <c r="G28" s="8" t="str">
        <f t="shared" si="2"/>
        <v/>
      </c>
      <c r="H28" s="8" t="s">
        <v>30</v>
      </c>
      <c r="I28" s="8" t="str">
        <f t="shared" si="3"/>
        <v>AudioNull</v>
      </c>
      <c r="J28" s="8" t="str">
        <f t="shared" si="4"/>
        <v/>
      </c>
      <c r="Q28" s="5" t="s">
        <v>115</v>
      </c>
      <c r="R28" s="8" t="s">
        <v>116</v>
      </c>
      <c r="S28" s="8" t="s">
        <v>117</v>
      </c>
      <c r="T28" s="8"/>
      <c r="U28" s="3" t="s">
        <v>43</v>
      </c>
      <c r="V28" s="8" t="s">
        <v>118</v>
      </c>
    </row>
    <row r="29" spans="1:22" x14ac:dyDescent="0.3">
      <c r="A29" s="3">
        <v>1025</v>
      </c>
      <c r="B29" s="5" t="s">
        <v>119</v>
      </c>
      <c r="C29" s="5" t="s">
        <v>25</v>
      </c>
      <c r="D29" s="5" t="s">
        <v>25</v>
      </c>
      <c r="E29" s="8" t="str">
        <f t="shared" si="0"/>
        <v>ui_s1_fight_km_name_ysk</v>
      </c>
      <c r="F29" s="8" t="str">
        <f t="shared" si="1"/>
        <v>ui_s1_fight_card1_tu_yinshikui</v>
      </c>
      <c r="G29" s="8" t="str">
        <f t="shared" si="2"/>
        <v/>
      </c>
      <c r="H29" s="8" t="s">
        <v>120</v>
      </c>
      <c r="I29" s="8" t="str">
        <f t="shared" si="3"/>
        <v>AudioNull</v>
      </c>
      <c r="J29" s="8" t="str">
        <f t="shared" si="4"/>
        <v>ui_s1_fight_zhuangbei_018_yinshikui</v>
      </c>
      <c r="Q29" s="5" t="s">
        <v>121</v>
      </c>
      <c r="R29" s="8" t="s">
        <v>122</v>
      </c>
      <c r="S29" s="8" t="s">
        <v>123</v>
      </c>
      <c r="T29" s="8"/>
      <c r="U29" s="3" t="s">
        <v>43</v>
      </c>
    </row>
    <row r="30" spans="1:22" x14ac:dyDescent="0.3">
      <c r="A30" s="3">
        <v>1026</v>
      </c>
      <c r="B30" s="5" t="s">
        <v>93</v>
      </c>
      <c r="C30" s="5" t="s">
        <v>25</v>
      </c>
      <c r="D30" s="5" t="s">
        <v>28</v>
      </c>
      <c r="E30" s="8" t="str">
        <f t="shared" si="0"/>
        <v>ui_s1_fight_km_name_zbsm</v>
      </c>
      <c r="F30" s="8" t="str">
        <f t="shared" si="1"/>
        <v>ui_s1_fight_card1_tu_zhangbashemao</v>
      </c>
      <c r="G30" s="8" t="str">
        <f t="shared" si="2"/>
        <v/>
      </c>
      <c r="H30" s="8" t="s">
        <v>124</v>
      </c>
      <c r="I30" s="8" t="str">
        <f t="shared" si="3"/>
        <v>AudioNull</v>
      </c>
      <c r="J30" s="8" t="str">
        <f t="shared" si="4"/>
        <v>ui_s1_fight_zhuangbei_009_zhangbashemao</v>
      </c>
      <c r="Q30" s="5" t="s">
        <v>125</v>
      </c>
      <c r="R30" s="8" t="s">
        <v>126</v>
      </c>
      <c r="S30" s="8" t="s">
        <v>127</v>
      </c>
      <c r="T30" s="8"/>
      <c r="U30" s="3" t="s">
        <v>43</v>
      </c>
    </row>
    <row r="31" spans="1:22" x14ac:dyDescent="0.3">
      <c r="A31" s="3">
        <v>1027</v>
      </c>
      <c r="B31" s="4" t="s">
        <v>30</v>
      </c>
      <c r="C31" s="5" t="s">
        <v>25</v>
      </c>
      <c r="D31" s="5" t="s">
        <v>31</v>
      </c>
      <c r="E31" s="8" t="str">
        <f t="shared" si="0"/>
        <v>ui_s1_fight_km_chongsha</v>
      </c>
      <c r="F31" s="8" t="str">
        <f t="shared" si="1"/>
        <v>ui_s1_fight_card1_tu_sha</v>
      </c>
      <c r="G31" s="8" t="str">
        <f t="shared" si="2"/>
        <v/>
      </c>
      <c r="H31" s="8" t="s">
        <v>30</v>
      </c>
      <c r="I31" s="8" t="str">
        <f t="shared" si="3"/>
        <v>AudioNull</v>
      </c>
      <c r="J31" s="8" t="str">
        <f t="shared" si="4"/>
        <v/>
      </c>
      <c r="Q31" s="5" t="s">
        <v>128</v>
      </c>
      <c r="R31" s="8" t="s">
        <v>129</v>
      </c>
      <c r="S31" s="8" t="s">
        <v>130</v>
      </c>
      <c r="T31" s="8"/>
      <c r="U31" s="3" t="s">
        <v>43</v>
      </c>
      <c r="V31" s="8" t="s">
        <v>131</v>
      </c>
    </row>
    <row r="32" spans="1:22" x14ac:dyDescent="0.3">
      <c r="A32" s="3">
        <v>1028</v>
      </c>
      <c r="B32" s="5" t="s">
        <v>30</v>
      </c>
      <c r="C32" s="5" t="s">
        <v>25</v>
      </c>
      <c r="D32" s="5" t="s">
        <v>33</v>
      </c>
      <c r="E32" s="8" t="str">
        <f t="shared" si="0"/>
        <v>ui_s1_fight_km_chongsha</v>
      </c>
      <c r="F32" s="8" t="str">
        <f t="shared" si="1"/>
        <v>ui_s1_fight_card1_tu_sha</v>
      </c>
      <c r="G32" s="8" t="str">
        <f t="shared" si="2"/>
        <v/>
      </c>
      <c r="H32" s="8" t="s">
        <v>30</v>
      </c>
      <c r="I32" s="8" t="str">
        <f t="shared" si="3"/>
        <v>AudioNull</v>
      </c>
      <c r="J32" s="8" t="str">
        <f t="shared" si="4"/>
        <v/>
      </c>
      <c r="Q32" s="5" t="s">
        <v>132</v>
      </c>
      <c r="R32" s="8" t="s">
        <v>133</v>
      </c>
      <c r="S32" s="8" t="s">
        <v>134</v>
      </c>
      <c r="T32" s="8"/>
      <c r="U32" s="3" t="s">
        <v>43</v>
      </c>
      <c r="V32" s="8" t="s">
        <v>135</v>
      </c>
    </row>
    <row r="33" spans="1:22" x14ac:dyDescent="0.3">
      <c r="A33" s="3">
        <v>1029</v>
      </c>
      <c r="B33" s="5" t="s">
        <v>97</v>
      </c>
      <c r="C33" s="5" t="s">
        <v>25</v>
      </c>
      <c r="D33" s="5" t="s">
        <v>39</v>
      </c>
      <c r="E33" s="8" t="str">
        <f t="shared" si="0"/>
        <v>ui_s1_fight_km_name_jyg</v>
      </c>
      <c r="F33" s="8" t="str">
        <f t="shared" si="1"/>
        <v>ui_s1_fight_card1_tu_jingyugong</v>
      </c>
      <c r="G33" s="8" t="str">
        <f t="shared" si="2"/>
        <v/>
      </c>
      <c r="H33" s="8" t="s">
        <v>136</v>
      </c>
      <c r="I33" s="8" t="str">
        <f t="shared" si="3"/>
        <v>AudioNull</v>
      </c>
      <c r="J33" s="8" t="str">
        <f t="shared" si="4"/>
        <v>ui_s1_fight_zhuangbei_004_jingyugong</v>
      </c>
      <c r="Q33" s="5" t="s">
        <v>137</v>
      </c>
      <c r="R33" s="8" t="s">
        <v>138</v>
      </c>
      <c r="S33" s="8" t="s">
        <v>139</v>
      </c>
      <c r="T33" s="8"/>
      <c r="U33" s="3" t="s">
        <v>43</v>
      </c>
      <c r="V33" s="8" t="s">
        <v>140</v>
      </c>
    </row>
    <row r="34" spans="1:22" x14ac:dyDescent="0.3">
      <c r="A34" s="3">
        <v>1030</v>
      </c>
      <c r="B34" s="5" t="s">
        <v>30</v>
      </c>
      <c r="C34" s="5" t="s">
        <v>25</v>
      </c>
      <c r="D34" s="5" t="s">
        <v>46</v>
      </c>
      <c r="E34" s="8" t="str">
        <f t="shared" si="0"/>
        <v>ui_s1_fight_km_chongsha</v>
      </c>
      <c r="F34" s="8" t="str">
        <f t="shared" si="1"/>
        <v>ui_s1_fight_card1_tu_sha</v>
      </c>
      <c r="G34" s="8" t="str">
        <f t="shared" si="2"/>
        <v/>
      </c>
      <c r="H34" s="8" t="s">
        <v>30</v>
      </c>
      <c r="I34" s="8" t="str">
        <f t="shared" si="3"/>
        <v>AudioNull</v>
      </c>
      <c r="J34" s="8" t="str">
        <f t="shared" si="4"/>
        <v/>
      </c>
      <c r="Q34" s="5" t="s">
        <v>141</v>
      </c>
      <c r="R34" s="8" t="s">
        <v>142</v>
      </c>
      <c r="S34" s="8" t="s">
        <v>143</v>
      </c>
      <c r="T34" s="8"/>
      <c r="U34" s="3" t="s">
        <v>43</v>
      </c>
    </row>
    <row r="35" spans="1:22" x14ac:dyDescent="0.3">
      <c r="A35" s="3">
        <v>1031</v>
      </c>
      <c r="B35" s="5" t="s">
        <v>50</v>
      </c>
      <c r="C35" s="5" t="s">
        <v>25</v>
      </c>
      <c r="D35" s="5" t="s">
        <v>51</v>
      </c>
      <c r="E35" s="8" t="str">
        <f t="shared" si="0"/>
        <v>ui_s1_fight_km_name_tiesuolianzhou</v>
      </c>
      <c r="F35" s="8" t="str">
        <f t="shared" si="1"/>
        <v>ui_s1_fight_card1_tu_tslz</v>
      </c>
      <c r="G35" s="8" t="str">
        <f t="shared" si="2"/>
        <v/>
      </c>
      <c r="H35" s="8" t="s">
        <v>52</v>
      </c>
      <c r="I35" s="8" t="str">
        <f t="shared" si="3"/>
        <v>AudioNull</v>
      </c>
      <c r="J35" s="8" t="str">
        <f t="shared" si="4"/>
        <v/>
      </c>
      <c r="Q35" s="5" t="s">
        <v>144</v>
      </c>
      <c r="R35" s="8" t="s">
        <v>145</v>
      </c>
      <c r="S35" s="8" t="s">
        <v>146</v>
      </c>
      <c r="T35" s="8"/>
      <c r="U35" s="3" t="s">
        <v>43</v>
      </c>
      <c r="V35" s="8" t="s">
        <v>147</v>
      </c>
    </row>
    <row r="36" spans="1:22" x14ac:dyDescent="0.3">
      <c r="A36" s="3">
        <v>1032</v>
      </c>
      <c r="B36" s="5" t="s">
        <v>30</v>
      </c>
      <c r="C36" s="5" t="s">
        <v>25</v>
      </c>
      <c r="D36" s="5" t="s">
        <v>57</v>
      </c>
      <c r="E36" s="8" t="str">
        <f t="shared" si="0"/>
        <v>ui_s1_fight_km_chongsha</v>
      </c>
      <c r="F36" s="8" t="str">
        <f t="shared" si="1"/>
        <v>ui_s1_fight_card1_tu_sha</v>
      </c>
      <c r="G36" s="8" t="str">
        <f t="shared" si="2"/>
        <v/>
      </c>
      <c r="H36" s="8" t="s">
        <v>30</v>
      </c>
      <c r="I36" s="8" t="str">
        <f t="shared" si="3"/>
        <v>AudioNull</v>
      </c>
      <c r="J36" s="8" t="str">
        <f t="shared" si="4"/>
        <v/>
      </c>
      <c r="Q36" s="5" t="s">
        <v>148</v>
      </c>
      <c r="R36" s="8" t="s">
        <v>149</v>
      </c>
      <c r="S36" s="8" t="s">
        <v>150</v>
      </c>
      <c r="T36" s="8"/>
      <c r="U36" s="3" t="s">
        <v>43</v>
      </c>
      <c r="V36" s="8" t="s">
        <v>151</v>
      </c>
    </row>
    <row r="37" spans="1:22" x14ac:dyDescent="0.3">
      <c r="A37" s="3">
        <v>1033</v>
      </c>
      <c r="B37" s="5" t="s">
        <v>30</v>
      </c>
      <c r="C37" s="5" t="s">
        <v>25</v>
      </c>
      <c r="D37" s="5" t="s">
        <v>25</v>
      </c>
      <c r="E37" s="8" t="str">
        <f t="shared" si="0"/>
        <v>ui_s1_fight_km_chongsha</v>
      </c>
      <c r="F37" s="8" t="str">
        <f t="shared" si="1"/>
        <v>ui_s1_fight_card1_tu_sha</v>
      </c>
      <c r="G37" s="8" t="str">
        <f t="shared" si="2"/>
        <v/>
      </c>
      <c r="H37" s="8" t="s">
        <v>30</v>
      </c>
      <c r="I37" s="8" t="str">
        <f t="shared" si="3"/>
        <v>AudioNull</v>
      </c>
      <c r="J37" s="8" t="str">
        <f t="shared" si="4"/>
        <v/>
      </c>
      <c r="Q37" s="5" t="s">
        <v>152</v>
      </c>
      <c r="R37" s="12" t="s">
        <v>153</v>
      </c>
      <c r="S37" s="8" t="s">
        <v>154</v>
      </c>
      <c r="T37" s="8"/>
      <c r="U37" s="3" t="s">
        <v>43</v>
      </c>
    </row>
    <row r="38" spans="1:22" x14ac:dyDescent="0.3">
      <c r="A38" s="3">
        <v>1034</v>
      </c>
      <c r="B38" s="5" t="s">
        <v>101</v>
      </c>
      <c r="C38" s="5" t="s">
        <v>25</v>
      </c>
      <c r="D38" s="5" t="s">
        <v>28</v>
      </c>
      <c r="E38" s="8" t="str">
        <f t="shared" si="0"/>
        <v>ui_s1_fight_km_name_zgln</v>
      </c>
      <c r="F38" s="8" t="str">
        <f t="shared" si="1"/>
        <v>ui_s1_fight_card1_tu_zhugeliannu</v>
      </c>
      <c r="G38" s="8" t="str">
        <f t="shared" si="2"/>
        <v/>
      </c>
      <c r="H38" s="8" t="s">
        <v>155</v>
      </c>
      <c r="I38" s="8" t="str">
        <f t="shared" si="3"/>
        <v>AudioNull</v>
      </c>
      <c r="J38" s="8" t="str">
        <f t="shared" si="4"/>
        <v>ui_s1_fight_zhuangbei_011_zhugeliannu</v>
      </c>
      <c r="Q38" s="5" t="s">
        <v>156</v>
      </c>
      <c r="R38" s="8" t="s">
        <v>157</v>
      </c>
      <c r="S38" s="8" t="s">
        <v>158</v>
      </c>
      <c r="T38" s="8"/>
      <c r="U38" s="3" t="s">
        <v>43</v>
      </c>
      <c r="V38" s="8" t="s">
        <v>159</v>
      </c>
    </row>
    <row r="39" spans="1:22" x14ac:dyDescent="0.3">
      <c r="A39" s="3">
        <v>1035</v>
      </c>
      <c r="B39" s="4" t="s">
        <v>30</v>
      </c>
      <c r="C39" s="5" t="s">
        <v>25</v>
      </c>
      <c r="D39" s="5" t="s">
        <v>31</v>
      </c>
      <c r="E39" s="8" t="str">
        <f t="shared" si="0"/>
        <v>ui_s1_fight_km_chongsha</v>
      </c>
      <c r="F39" s="8" t="str">
        <f t="shared" si="1"/>
        <v>ui_s1_fight_card1_tu_sha</v>
      </c>
      <c r="G39" s="8" t="str">
        <f t="shared" si="2"/>
        <v/>
      </c>
      <c r="H39" s="8" t="s">
        <v>30</v>
      </c>
      <c r="I39" s="8" t="str">
        <f t="shared" si="3"/>
        <v>AudioNull</v>
      </c>
      <c r="J39" s="8" t="str">
        <f t="shared" si="4"/>
        <v/>
      </c>
      <c r="Q39" s="5" t="s">
        <v>160</v>
      </c>
      <c r="R39" s="8" t="s">
        <v>161</v>
      </c>
      <c r="S39" s="8" t="s">
        <v>162</v>
      </c>
      <c r="T39" s="8"/>
      <c r="U39" s="3" t="s">
        <v>43</v>
      </c>
      <c r="V39" s="8" t="s">
        <v>163</v>
      </c>
    </row>
    <row r="40" spans="1:22" x14ac:dyDescent="0.3">
      <c r="A40" s="3">
        <v>1036</v>
      </c>
      <c r="B40" s="5" t="s">
        <v>30</v>
      </c>
      <c r="C40" s="5" t="s">
        <v>25</v>
      </c>
      <c r="D40" s="5" t="s">
        <v>33</v>
      </c>
      <c r="E40" s="8" t="str">
        <f t="shared" si="0"/>
        <v>ui_s1_fight_km_chongsha</v>
      </c>
      <c r="F40" s="8" t="str">
        <f t="shared" si="1"/>
        <v>ui_s1_fight_card1_tu_sha</v>
      </c>
      <c r="G40" s="8" t="str">
        <f t="shared" si="2"/>
        <v/>
      </c>
      <c r="H40" s="8" t="s">
        <v>30</v>
      </c>
      <c r="I40" s="8" t="str">
        <f t="shared" si="3"/>
        <v>AudioNull</v>
      </c>
      <c r="J40" s="8" t="str">
        <f t="shared" si="4"/>
        <v/>
      </c>
      <c r="Q40" s="5" t="s">
        <v>164</v>
      </c>
      <c r="R40" s="8" t="s">
        <v>165</v>
      </c>
      <c r="S40" s="8" t="s">
        <v>166</v>
      </c>
      <c r="T40" s="8"/>
      <c r="U40" s="3" t="s">
        <v>43</v>
      </c>
      <c r="V40" s="8" t="s">
        <v>167</v>
      </c>
    </row>
    <row r="41" spans="1:22" x14ac:dyDescent="0.3">
      <c r="A41" s="3">
        <v>1037</v>
      </c>
      <c r="B41" s="5" t="s">
        <v>30</v>
      </c>
      <c r="C41" s="5" t="s">
        <v>25</v>
      </c>
      <c r="D41" s="5" t="s">
        <v>39</v>
      </c>
      <c r="E41" s="8" t="str">
        <f t="shared" si="0"/>
        <v>ui_s1_fight_km_chongsha</v>
      </c>
      <c r="F41" s="8" t="str">
        <f t="shared" si="1"/>
        <v>ui_s1_fight_card1_tu_sha</v>
      </c>
      <c r="G41" s="8" t="str">
        <f t="shared" si="2"/>
        <v/>
      </c>
      <c r="H41" s="8" t="s">
        <v>30</v>
      </c>
      <c r="I41" s="8" t="str">
        <f t="shared" si="3"/>
        <v>AudioNull</v>
      </c>
      <c r="J41" s="8" t="str">
        <f t="shared" si="4"/>
        <v/>
      </c>
      <c r="Q41" s="5" t="s">
        <v>119</v>
      </c>
      <c r="R41" s="8" t="s">
        <v>168</v>
      </c>
      <c r="S41" s="8" t="s">
        <v>169</v>
      </c>
      <c r="T41" s="8"/>
      <c r="U41" s="3" t="s">
        <v>43</v>
      </c>
      <c r="V41" s="8" t="s">
        <v>170</v>
      </c>
    </row>
    <row r="42" spans="1:22" x14ac:dyDescent="0.3">
      <c r="A42" s="3">
        <v>1038</v>
      </c>
      <c r="B42" s="4" t="s">
        <v>30</v>
      </c>
      <c r="C42" s="5" t="s">
        <v>25</v>
      </c>
      <c r="D42" s="5" t="s">
        <v>46</v>
      </c>
      <c r="E42" s="8" t="str">
        <f t="shared" si="0"/>
        <v>ui_s1_fight_km_chongsha</v>
      </c>
      <c r="F42" s="8" t="str">
        <f t="shared" si="1"/>
        <v>ui_s1_fight_card1_tu_sha</v>
      </c>
      <c r="G42" s="8" t="str">
        <f t="shared" si="2"/>
        <v/>
      </c>
      <c r="H42" s="8" t="s">
        <v>30</v>
      </c>
      <c r="I42" s="8" t="str">
        <f t="shared" si="3"/>
        <v>AudioNull</v>
      </c>
      <c r="J42" s="8" t="str">
        <f t="shared" si="4"/>
        <v/>
      </c>
      <c r="Q42" s="5" t="s">
        <v>171</v>
      </c>
      <c r="R42" s="8" t="s">
        <v>172</v>
      </c>
      <c r="S42" s="8" t="s">
        <v>173</v>
      </c>
      <c r="T42" s="8"/>
      <c r="U42" s="3" t="s">
        <v>43</v>
      </c>
    </row>
    <row r="43" spans="1:22" x14ac:dyDescent="0.3">
      <c r="A43" s="3">
        <v>1039</v>
      </c>
      <c r="B43" s="5" t="s">
        <v>50</v>
      </c>
      <c r="C43" s="5" t="s">
        <v>25</v>
      </c>
      <c r="D43" s="5" t="s">
        <v>51</v>
      </c>
      <c r="E43" s="8" t="str">
        <f t="shared" si="0"/>
        <v>ui_s1_fight_km_name_tiesuolianzhou</v>
      </c>
      <c r="F43" s="8" t="str">
        <f t="shared" si="1"/>
        <v>ui_s1_fight_card1_tu_tslz</v>
      </c>
      <c r="G43" s="8" t="str">
        <f t="shared" si="2"/>
        <v/>
      </c>
      <c r="H43" s="8" t="s">
        <v>52</v>
      </c>
      <c r="I43" s="8" t="str">
        <f t="shared" si="3"/>
        <v>AudioNull</v>
      </c>
      <c r="J43" s="8" t="str">
        <f t="shared" si="4"/>
        <v/>
      </c>
      <c r="Q43" s="5" t="s">
        <v>174</v>
      </c>
      <c r="R43" s="12" t="s">
        <v>175</v>
      </c>
      <c r="S43" s="8" t="s">
        <v>176</v>
      </c>
      <c r="T43" s="8"/>
      <c r="U43" s="3" t="s">
        <v>43</v>
      </c>
    </row>
    <row r="44" spans="1:22" x14ac:dyDescent="0.3">
      <c r="A44" s="3">
        <v>1040</v>
      </c>
      <c r="B44" s="5" t="s">
        <v>30</v>
      </c>
      <c r="C44" s="5" t="s">
        <v>25</v>
      </c>
      <c r="D44" s="5" t="s">
        <v>57</v>
      </c>
      <c r="E44" s="8" t="str">
        <f t="shared" si="0"/>
        <v>ui_s1_fight_km_chongsha</v>
      </c>
      <c r="F44" s="8" t="str">
        <f t="shared" si="1"/>
        <v>ui_s1_fight_card1_tu_sha</v>
      </c>
      <c r="G44" s="8" t="str">
        <f t="shared" si="2"/>
        <v/>
      </c>
      <c r="H44" s="8" t="s">
        <v>30</v>
      </c>
      <c r="I44" s="8" t="str">
        <f t="shared" si="3"/>
        <v>AudioNull</v>
      </c>
      <c r="J44" s="8" t="str">
        <f t="shared" si="4"/>
        <v/>
      </c>
      <c r="Q44" s="5" t="s">
        <v>177</v>
      </c>
      <c r="R44" s="8" t="s">
        <v>178</v>
      </c>
      <c r="S44" s="8" t="s">
        <v>179</v>
      </c>
      <c r="T44" s="8"/>
      <c r="U44" s="3" t="s">
        <v>43</v>
      </c>
      <c r="V44" s="8" t="s">
        <v>180</v>
      </c>
    </row>
    <row r="45" spans="1:22" x14ac:dyDescent="0.3">
      <c r="A45" s="3">
        <v>1041</v>
      </c>
      <c r="B45" s="5" t="s">
        <v>109</v>
      </c>
      <c r="C45" s="5" t="s">
        <v>28</v>
      </c>
      <c r="D45" s="5" t="s">
        <v>25</v>
      </c>
      <c r="E45" s="8" t="str">
        <f t="shared" si="0"/>
        <v>ui_s1_fight_km_name_xysx</v>
      </c>
      <c r="F45" s="8" t="str">
        <f t="shared" si="1"/>
        <v>ui_s1_fight_card1_tu_xysx</v>
      </c>
      <c r="G45" s="8" t="str">
        <f t="shared" si="2"/>
        <v/>
      </c>
      <c r="H45" s="8" t="s">
        <v>181</v>
      </c>
      <c r="I45" s="8" t="str">
        <f t="shared" si="3"/>
        <v>AudioNull</v>
      </c>
      <c r="J45" s="8" t="str">
        <f t="shared" si="4"/>
        <v/>
      </c>
      <c r="Q45" s="5" t="s">
        <v>182</v>
      </c>
      <c r="R45" s="8" t="s">
        <v>183</v>
      </c>
      <c r="S45" s="8" t="s">
        <v>184</v>
      </c>
      <c r="T45" s="8"/>
      <c r="U45" s="3" t="s">
        <v>43</v>
      </c>
    </row>
    <row r="46" spans="1:22" x14ac:dyDescent="0.3">
      <c r="A46" s="3">
        <v>1042</v>
      </c>
      <c r="B46" s="5" t="s">
        <v>112</v>
      </c>
      <c r="C46" s="5" t="s">
        <v>28</v>
      </c>
      <c r="D46" s="5" t="s">
        <v>28</v>
      </c>
      <c r="E46" s="8" t="str">
        <f t="shared" si="0"/>
        <v>ui_s1_fight_km_name_ddys</v>
      </c>
      <c r="F46" s="8" t="str">
        <f t="shared" si="1"/>
        <v>ui_s1_fight_card1_tu_ddys</v>
      </c>
      <c r="G46" s="8" t="str">
        <f t="shared" si="2"/>
        <v/>
      </c>
      <c r="H46" s="8" t="s">
        <v>185</v>
      </c>
      <c r="I46" s="8" t="str">
        <f t="shared" si="3"/>
        <v>AudioNull</v>
      </c>
      <c r="J46" s="8" t="str">
        <f t="shared" si="4"/>
        <v/>
      </c>
      <c r="Q46" s="5" t="s">
        <v>186</v>
      </c>
      <c r="R46" s="8" t="s">
        <v>187</v>
      </c>
      <c r="S46" s="8" t="s">
        <v>188</v>
      </c>
      <c r="T46" s="8"/>
      <c r="U46" s="3" t="s">
        <v>43</v>
      </c>
    </row>
    <row r="47" spans="1:22" x14ac:dyDescent="0.3">
      <c r="A47" s="3">
        <v>1043</v>
      </c>
      <c r="B47" s="5" t="s">
        <v>115</v>
      </c>
      <c r="C47" s="5" t="s">
        <v>28</v>
      </c>
      <c r="D47" s="5" t="s">
        <v>31</v>
      </c>
      <c r="E47" s="8" t="str">
        <f t="shared" si="0"/>
        <v>ui_s1_fight_km_name_tengjia</v>
      </c>
      <c r="F47" s="8" t="str">
        <f t="shared" si="1"/>
        <v>ui_s1_fight_card1_tu_tengjia</v>
      </c>
      <c r="G47" s="8" t="str">
        <f t="shared" si="2"/>
        <v/>
      </c>
      <c r="H47" s="8" t="s">
        <v>189</v>
      </c>
      <c r="I47" s="8" t="str">
        <f t="shared" si="3"/>
        <v>AudioNull</v>
      </c>
      <c r="J47" s="8" t="str">
        <f t="shared" si="4"/>
        <v>ui_s1_fight_zhuangbei_013_tengjia</v>
      </c>
      <c r="Q47" s="5" t="s">
        <v>190</v>
      </c>
      <c r="R47" s="8" t="s">
        <v>191</v>
      </c>
      <c r="S47" s="8" t="s">
        <v>192</v>
      </c>
      <c r="T47" s="8"/>
      <c r="U47" s="3" t="s">
        <v>43</v>
      </c>
    </row>
    <row r="48" spans="1:22" x14ac:dyDescent="0.3">
      <c r="A48" s="3">
        <v>1044</v>
      </c>
      <c r="B48" s="5" t="s">
        <v>121</v>
      </c>
      <c r="C48" s="5" t="s">
        <v>28</v>
      </c>
      <c r="D48" s="5" t="s">
        <v>33</v>
      </c>
      <c r="E48" s="8" t="str">
        <f t="shared" si="0"/>
        <v>ui_s1_fight_km_jue</v>
      </c>
      <c r="F48" s="8" t="str">
        <f t="shared" si="1"/>
        <v>ui_s1_fight_card1_tu_jiu</v>
      </c>
      <c r="G48" s="8" t="str">
        <f t="shared" si="2"/>
        <v/>
      </c>
      <c r="H48" s="8" t="s">
        <v>121</v>
      </c>
      <c r="I48" s="8" t="str">
        <f t="shared" si="3"/>
        <v>AudioNull</v>
      </c>
      <c r="J48" s="8" t="str">
        <f t="shared" si="4"/>
        <v/>
      </c>
      <c r="Q48" s="4" t="s">
        <v>193</v>
      </c>
      <c r="R48" s="8" t="s">
        <v>194</v>
      </c>
      <c r="S48" s="8" t="s">
        <v>195</v>
      </c>
      <c r="T48" s="8"/>
      <c r="U48" s="3" t="s">
        <v>43</v>
      </c>
      <c r="V48" s="8" t="s">
        <v>196</v>
      </c>
    </row>
    <row r="49" spans="1:22" x14ac:dyDescent="0.3">
      <c r="A49" s="3">
        <v>1045</v>
      </c>
      <c r="B49" s="5" t="s">
        <v>125</v>
      </c>
      <c r="C49" s="5" t="s">
        <v>28</v>
      </c>
      <c r="D49" s="5" t="s">
        <v>39</v>
      </c>
      <c r="E49" s="8" t="str">
        <f t="shared" si="0"/>
        <v>ui_s1_fight_km_name_xbtc</v>
      </c>
      <c r="F49" s="8" t="str">
        <f t="shared" si="1"/>
        <v>ui_s1_fight_card1_tu_xianbatouchou</v>
      </c>
      <c r="G49" s="8" t="str">
        <f t="shared" si="2"/>
        <v/>
      </c>
      <c r="H49" s="8" t="s">
        <v>197</v>
      </c>
      <c r="I49" s="8" t="str">
        <f t="shared" si="3"/>
        <v>AudioNull</v>
      </c>
      <c r="J49" s="8" t="str">
        <f t="shared" si="4"/>
        <v/>
      </c>
      <c r="Q49" s="5" t="s">
        <v>30</v>
      </c>
      <c r="R49" s="8" t="s">
        <v>198</v>
      </c>
      <c r="S49" s="8" t="s">
        <v>49</v>
      </c>
      <c r="T49" s="8"/>
      <c r="U49" s="3" t="s">
        <v>43</v>
      </c>
    </row>
    <row r="50" spans="1:22" x14ac:dyDescent="0.3">
      <c r="A50" s="3">
        <v>1046</v>
      </c>
      <c r="B50" s="5" t="s">
        <v>137</v>
      </c>
      <c r="C50" s="5" t="s">
        <v>28</v>
      </c>
      <c r="D50" s="5" t="s">
        <v>46</v>
      </c>
      <c r="E50" s="8" t="str">
        <f t="shared" si="0"/>
        <v>ui_s1_fight_km_name_dilu</v>
      </c>
      <c r="F50" s="8" t="str">
        <f t="shared" si="1"/>
        <v>ui_s1_fight_card1_tu_dilu</v>
      </c>
      <c r="G50" s="8" t="str">
        <f t="shared" si="2"/>
        <v/>
      </c>
      <c r="H50" s="8" t="s">
        <v>199</v>
      </c>
      <c r="I50" s="8" t="str">
        <f t="shared" si="3"/>
        <v>AudioNull</v>
      </c>
      <c r="J50" s="8" t="str">
        <f t="shared" si="4"/>
        <v>ui_s1_fight_zhuangbei_021_dilu</v>
      </c>
      <c r="Q50" s="4" t="s">
        <v>200</v>
      </c>
      <c r="R50" s="8" t="s">
        <v>201</v>
      </c>
      <c r="S50" s="8" t="s">
        <v>202</v>
      </c>
      <c r="T50" s="8"/>
      <c r="U50" s="3" t="s">
        <v>43</v>
      </c>
    </row>
    <row r="51" spans="1:22" x14ac:dyDescent="0.3">
      <c r="A51" s="3">
        <v>1047</v>
      </c>
      <c r="B51" s="5" t="s">
        <v>152</v>
      </c>
      <c r="C51" s="5" t="s">
        <v>28</v>
      </c>
      <c r="D51" s="5" t="s">
        <v>51</v>
      </c>
      <c r="E51" s="8" t="str">
        <f t="shared" si="0"/>
        <v>ui_s1_fight_km_pantao</v>
      </c>
      <c r="F51" s="8" t="str">
        <f t="shared" si="1"/>
        <v>ui_s1_fight_card1_tu_tao_01</v>
      </c>
      <c r="G51" s="8" t="str">
        <f t="shared" si="2"/>
        <v/>
      </c>
      <c r="H51" s="8" t="s">
        <v>152</v>
      </c>
      <c r="I51" s="8" t="str">
        <f t="shared" si="3"/>
        <v>AudioNull</v>
      </c>
      <c r="J51" s="8" t="str">
        <f t="shared" si="4"/>
        <v/>
      </c>
      <c r="Q51" s="5" t="s">
        <v>203</v>
      </c>
      <c r="R51" s="8" t="s">
        <v>204</v>
      </c>
      <c r="S51" s="8" t="s">
        <v>205</v>
      </c>
      <c r="T51" s="8"/>
      <c r="U51" s="3" t="s">
        <v>43</v>
      </c>
      <c r="V51" s="8" t="s">
        <v>206</v>
      </c>
    </row>
    <row r="52" spans="1:22" x14ac:dyDescent="0.3">
      <c r="A52" s="3">
        <v>1048</v>
      </c>
      <c r="B52" s="5" t="s">
        <v>152</v>
      </c>
      <c r="C52" s="5" t="s">
        <v>28</v>
      </c>
      <c r="D52" s="5" t="s">
        <v>57</v>
      </c>
      <c r="E52" s="8" t="str">
        <f t="shared" si="0"/>
        <v>ui_s1_fight_km_pantao</v>
      </c>
      <c r="F52" s="8" t="str">
        <f t="shared" si="1"/>
        <v>ui_s1_fight_card1_tu_tao_01</v>
      </c>
      <c r="G52" s="8" t="str">
        <f t="shared" si="2"/>
        <v/>
      </c>
      <c r="H52" s="8" t="s">
        <v>152</v>
      </c>
      <c r="I52" s="8" t="str">
        <f t="shared" si="3"/>
        <v>AudioNull</v>
      </c>
      <c r="J52" s="8" t="str">
        <f t="shared" si="4"/>
        <v/>
      </c>
      <c r="Q52" s="5" t="s">
        <v>207</v>
      </c>
      <c r="R52" s="8" t="s">
        <v>208</v>
      </c>
      <c r="S52" s="8" t="s">
        <v>209</v>
      </c>
      <c r="T52" s="8"/>
      <c r="U52" s="3" t="s">
        <v>43</v>
      </c>
    </row>
    <row r="53" spans="1:22" x14ac:dyDescent="0.3">
      <c r="A53" s="3">
        <v>1049</v>
      </c>
      <c r="B53" s="5" t="s">
        <v>141</v>
      </c>
      <c r="C53" s="5" t="s">
        <v>28</v>
      </c>
      <c r="D53" s="5" t="s">
        <v>25</v>
      </c>
      <c r="E53" s="8" t="str">
        <f t="shared" si="0"/>
        <v>ui_s1_fight_km_name_tianlei</v>
      </c>
      <c r="F53" s="8" t="str">
        <f t="shared" si="1"/>
        <v>ui_s1_fight_card1_tu_tianlei</v>
      </c>
      <c r="G53" s="8" t="str">
        <f t="shared" si="2"/>
        <v/>
      </c>
      <c r="H53" s="8" t="s">
        <v>210</v>
      </c>
      <c r="I53" s="8" t="str">
        <f t="shared" si="3"/>
        <v>AudioNull</v>
      </c>
      <c r="J53" s="8" t="str">
        <f t="shared" si="4"/>
        <v/>
      </c>
      <c r="Q53" s="4" t="s">
        <v>211</v>
      </c>
      <c r="R53" s="8" t="s">
        <v>212</v>
      </c>
      <c r="S53" s="8" t="s">
        <v>213</v>
      </c>
      <c r="T53" s="8"/>
      <c r="U53" s="3" t="s">
        <v>43</v>
      </c>
    </row>
    <row r="54" spans="1:22" x14ac:dyDescent="0.3">
      <c r="A54" s="3">
        <v>1050</v>
      </c>
      <c r="B54" s="5" t="s">
        <v>112</v>
      </c>
      <c r="C54" s="5" t="s">
        <v>28</v>
      </c>
      <c r="D54" s="5" t="s">
        <v>28</v>
      </c>
      <c r="E54" s="8" t="str">
        <f t="shared" si="0"/>
        <v>ui_s1_fight_km_name_ddys</v>
      </c>
      <c r="F54" s="8" t="str">
        <f t="shared" si="1"/>
        <v>ui_s1_fight_card1_tu_ddys</v>
      </c>
      <c r="G54" s="8" t="str">
        <f t="shared" si="2"/>
        <v/>
      </c>
      <c r="H54" s="8" t="s">
        <v>185</v>
      </c>
      <c r="I54" s="8" t="str">
        <f t="shared" si="3"/>
        <v>AudioNull</v>
      </c>
      <c r="J54" s="8" t="str">
        <f t="shared" si="4"/>
        <v/>
      </c>
      <c r="Q54" s="5" t="s">
        <v>214</v>
      </c>
      <c r="R54" s="8" t="s">
        <v>215</v>
      </c>
      <c r="S54" s="8" t="s">
        <v>216</v>
      </c>
      <c r="T54" s="8"/>
      <c r="U54" s="3" t="s">
        <v>43</v>
      </c>
    </row>
    <row r="55" spans="1:22" x14ac:dyDescent="0.3">
      <c r="A55" s="3">
        <v>1051</v>
      </c>
      <c r="B55" s="5" t="s">
        <v>211</v>
      </c>
      <c r="C55" s="5" t="s">
        <v>28</v>
      </c>
      <c r="D55" s="5" t="s">
        <v>31</v>
      </c>
      <c r="E55" s="8" t="str">
        <f t="shared" si="0"/>
        <v>ui_s1_fight_km_name_binglaingcunduan</v>
      </c>
      <c r="F55" s="8" t="str">
        <f t="shared" si="1"/>
        <v>ui_s1_fight_card1_tu_blcd</v>
      </c>
      <c r="G55" s="8" t="str">
        <f t="shared" si="2"/>
        <v/>
      </c>
      <c r="H55" s="8" t="s">
        <v>217</v>
      </c>
      <c r="I55" s="8" t="str">
        <f t="shared" si="3"/>
        <v>AudioNull</v>
      </c>
      <c r="J55" s="8" t="str">
        <f t="shared" si="4"/>
        <v/>
      </c>
      <c r="Q55" s="4" t="s">
        <v>218</v>
      </c>
      <c r="R55" s="8" t="s">
        <v>219</v>
      </c>
      <c r="S55" s="8" t="s">
        <v>220</v>
      </c>
      <c r="T55" s="4"/>
      <c r="U55" s="3" t="s">
        <v>43</v>
      </c>
      <c r="V55" s="8" t="s">
        <v>221</v>
      </c>
    </row>
    <row r="56" spans="1:22" x14ac:dyDescent="0.3">
      <c r="A56" s="3">
        <v>1052</v>
      </c>
      <c r="B56" s="5" t="s">
        <v>121</v>
      </c>
      <c r="C56" s="5" t="s">
        <v>28</v>
      </c>
      <c r="D56" s="5" t="s">
        <v>33</v>
      </c>
      <c r="E56" s="8" t="str">
        <f t="shared" si="0"/>
        <v>ui_s1_fight_km_jue</v>
      </c>
      <c r="F56" s="8" t="str">
        <f t="shared" si="1"/>
        <v>ui_s1_fight_card1_tu_jiu</v>
      </c>
      <c r="G56" s="8" t="str">
        <f t="shared" si="2"/>
        <v/>
      </c>
      <c r="H56" s="8" t="s">
        <v>121</v>
      </c>
      <c r="I56" s="8" t="str">
        <f t="shared" si="3"/>
        <v>AudioNull</v>
      </c>
      <c r="J56" s="8" t="str">
        <f t="shared" si="4"/>
        <v/>
      </c>
      <c r="Q56" s="5" t="s">
        <v>222</v>
      </c>
      <c r="R56" s="8" t="s">
        <v>223</v>
      </c>
      <c r="S56" s="8" t="s">
        <v>224</v>
      </c>
      <c r="T56" s="8" t="s">
        <v>225</v>
      </c>
      <c r="U56" s="3" t="s">
        <v>43</v>
      </c>
    </row>
    <row r="57" spans="1:22" x14ac:dyDescent="0.3">
      <c r="A57" s="3">
        <v>1053</v>
      </c>
      <c r="B57" s="5" t="s">
        <v>125</v>
      </c>
      <c r="C57" s="5" t="s">
        <v>28</v>
      </c>
      <c r="D57" s="5" t="s">
        <v>39</v>
      </c>
      <c r="E57" s="8" t="str">
        <f t="shared" si="0"/>
        <v>ui_s1_fight_km_name_xbtc</v>
      </c>
      <c r="F57" s="8" t="str">
        <f t="shared" si="1"/>
        <v>ui_s1_fight_card1_tu_xianbatouchou</v>
      </c>
      <c r="G57" s="8" t="str">
        <f t="shared" si="2"/>
        <v/>
      </c>
      <c r="H57" s="8" t="s">
        <v>197</v>
      </c>
      <c r="I57" s="8" t="str">
        <f t="shared" si="3"/>
        <v>AudioNull</v>
      </c>
      <c r="J57" s="8" t="str">
        <f t="shared" si="4"/>
        <v/>
      </c>
      <c r="Q57" s="5" t="s">
        <v>222</v>
      </c>
      <c r="R57" s="8" t="s">
        <v>223</v>
      </c>
      <c r="S57" s="8" t="s">
        <v>224</v>
      </c>
      <c r="T57" s="8" t="s">
        <v>226</v>
      </c>
      <c r="U57" s="3" t="s">
        <v>43</v>
      </c>
    </row>
    <row r="58" spans="1:22" x14ac:dyDescent="0.3">
      <c r="A58" s="3">
        <v>1054</v>
      </c>
      <c r="B58" s="5" t="s">
        <v>121</v>
      </c>
      <c r="C58" s="5" t="s">
        <v>28</v>
      </c>
      <c r="D58" s="5" t="s">
        <v>46</v>
      </c>
      <c r="E58" s="8" t="str">
        <f t="shared" si="0"/>
        <v>ui_s1_fight_km_jue</v>
      </c>
      <c r="F58" s="8" t="str">
        <f t="shared" si="1"/>
        <v>ui_s1_fight_card1_tu_jiu</v>
      </c>
      <c r="G58" s="8" t="str">
        <f t="shared" si="2"/>
        <v/>
      </c>
      <c r="H58" s="8" t="s">
        <v>121</v>
      </c>
      <c r="I58" s="8" t="str">
        <f t="shared" si="3"/>
        <v>AudioNull</v>
      </c>
      <c r="J58" s="8" t="str">
        <f t="shared" si="4"/>
        <v/>
      </c>
      <c r="Q58" s="5" t="s">
        <v>227</v>
      </c>
      <c r="R58" s="8" t="s">
        <v>228</v>
      </c>
      <c r="S58" s="8" t="s">
        <v>229</v>
      </c>
      <c r="T58" s="8"/>
      <c r="U58" s="3" t="s">
        <v>43</v>
      </c>
    </row>
    <row r="59" spans="1:22" x14ac:dyDescent="0.3">
      <c r="A59" s="3">
        <v>1055</v>
      </c>
      <c r="B59" s="5" t="s">
        <v>152</v>
      </c>
      <c r="C59" s="5" t="s">
        <v>28</v>
      </c>
      <c r="D59" s="5" t="s">
        <v>51</v>
      </c>
      <c r="E59" s="8" t="str">
        <f t="shared" si="0"/>
        <v>ui_s1_fight_km_pantao</v>
      </c>
      <c r="F59" s="8" t="str">
        <f t="shared" si="1"/>
        <v>ui_s1_fight_card1_tu_tao_01</v>
      </c>
      <c r="G59" s="8" t="str">
        <f t="shared" si="2"/>
        <v/>
      </c>
      <c r="H59" s="8" t="s">
        <v>152</v>
      </c>
      <c r="I59" s="8" t="str">
        <f t="shared" si="3"/>
        <v>AudioNull</v>
      </c>
      <c r="J59" s="8" t="str">
        <f t="shared" si="4"/>
        <v/>
      </c>
      <c r="Q59" s="5" t="s">
        <v>230</v>
      </c>
      <c r="R59" s="8" t="s">
        <v>231</v>
      </c>
      <c r="S59" s="8" t="s">
        <v>232</v>
      </c>
      <c r="T59" s="8"/>
      <c r="U59" s="8" t="s">
        <v>43</v>
      </c>
    </row>
    <row r="60" spans="1:22" x14ac:dyDescent="0.3">
      <c r="A60" s="3">
        <v>1056</v>
      </c>
      <c r="B60" s="5" t="s">
        <v>152</v>
      </c>
      <c r="C60" s="5" t="s">
        <v>28</v>
      </c>
      <c r="D60" s="5" t="s">
        <v>57</v>
      </c>
      <c r="E60" s="8" t="str">
        <f t="shared" si="0"/>
        <v>ui_s1_fight_km_pantao</v>
      </c>
      <c r="F60" s="8" t="str">
        <f t="shared" si="1"/>
        <v>ui_s1_fight_card1_tu_tao_01</v>
      </c>
      <c r="G60" s="8" t="str">
        <f t="shared" si="2"/>
        <v/>
      </c>
      <c r="H60" s="8" t="s">
        <v>152</v>
      </c>
      <c r="I60" s="8" t="str">
        <f t="shared" si="3"/>
        <v>AudioNull</v>
      </c>
      <c r="J60" s="8" t="str">
        <f t="shared" si="4"/>
        <v/>
      </c>
      <c r="Q60" s="4" t="s">
        <v>233</v>
      </c>
      <c r="R60" s="4" t="s">
        <v>234</v>
      </c>
      <c r="S60" s="5" t="s">
        <v>235</v>
      </c>
      <c r="T60" s="4"/>
      <c r="U60" s="8" t="s">
        <v>43</v>
      </c>
    </row>
    <row r="61" spans="1:22" x14ac:dyDescent="0.3">
      <c r="A61" s="3">
        <v>1057</v>
      </c>
      <c r="B61" s="5" t="s">
        <v>152</v>
      </c>
      <c r="C61" s="5" t="s">
        <v>28</v>
      </c>
      <c r="D61" s="5" t="s">
        <v>25</v>
      </c>
      <c r="E61" s="8" t="str">
        <f t="shared" si="0"/>
        <v>ui_s1_fight_km_pantao</v>
      </c>
      <c r="F61" s="8" t="str">
        <f t="shared" si="1"/>
        <v>ui_s1_fight_card1_tu_tao_01</v>
      </c>
      <c r="G61" s="8" t="str">
        <f t="shared" si="2"/>
        <v/>
      </c>
      <c r="H61" s="8" t="s">
        <v>152</v>
      </c>
      <c r="I61" s="8" t="str">
        <f t="shared" si="3"/>
        <v>AudioNull</v>
      </c>
      <c r="J61" s="8" t="str">
        <f t="shared" si="4"/>
        <v/>
      </c>
      <c r="Q61" s="4" t="s">
        <v>236</v>
      </c>
      <c r="R61" s="5" t="s">
        <v>237</v>
      </c>
      <c r="S61" s="5" t="s">
        <v>238</v>
      </c>
      <c r="T61" s="4"/>
      <c r="U61" s="8" t="s">
        <v>43</v>
      </c>
    </row>
    <row r="62" spans="1:22" x14ac:dyDescent="0.3">
      <c r="A62" s="3">
        <v>1058</v>
      </c>
      <c r="B62" s="5" t="s">
        <v>112</v>
      </c>
      <c r="C62" s="5" t="s">
        <v>28</v>
      </c>
      <c r="D62" s="5" t="s">
        <v>28</v>
      </c>
      <c r="E62" s="8" t="str">
        <f t="shared" si="0"/>
        <v>ui_s1_fight_km_name_ddys</v>
      </c>
      <c r="F62" s="8" t="str">
        <f t="shared" si="1"/>
        <v>ui_s1_fight_card1_tu_ddys</v>
      </c>
      <c r="G62" s="8" t="str">
        <f t="shared" si="2"/>
        <v/>
      </c>
      <c r="H62" s="8" t="s">
        <v>185</v>
      </c>
      <c r="I62" s="8" t="str">
        <f t="shared" si="3"/>
        <v>AudioNull</v>
      </c>
      <c r="J62" s="8" t="str">
        <f t="shared" si="4"/>
        <v/>
      </c>
      <c r="Q62" s="4" t="s">
        <v>239</v>
      </c>
      <c r="R62" s="4" t="s">
        <v>240</v>
      </c>
      <c r="S62" s="5" t="s">
        <v>241</v>
      </c>
      <c r="T62" s="4"/>
      <c r="U62" s="8" t="s">
        <v>43</v>
      </c>
    </row>
    <row r="63" spans="1:22" x14ac:dyDescent="0.3">
      <c r="A63" s="3">
        <v>1059</v>
      </c>
      <c r="B63" s="5" t="s">
        <v>211</v>
      </c>
      <c r="C63" s="5" t="s">
        <v>28</v>
      </c>
      <c r="D63" s="5" t="s">
        <v>31</v>
      </c>
      <c r="E63" s="8" t="str">
        <f t="shared" si="0"/>
        <v>ui_s1_fight_km_name_binglaingcunduan</v>
      </c>
      <c r="F63" s="8" t="str">
        <f t="shared" si="1"/>
        <v>ui_s1_fight_card1_tu_blcd</v>
      </c>
      <c r="G63" s="8" t="str">
        <f t="shared" si="2"/>
        <v/>
      </c>
      <c r="H63" s="8" t="s">
        <v>217</v>
      </c>
      <c r="I63" s="8" t="str">
        <f t="shared" si="3"/>
        <v>AudioNull</v>
      </c>
      <c r="J63" s="8" t="str">
        <f t="shared" si="4"/>
        <v/>
      </c>
      <c r="Q63" s="4" t="s">
        <v>242</v>
      </c>
      <c r="R63" s="5" t="s">
        <v>243</v>
      </c>
      <c r="S63" s="5" t="s">
        <v>244</v>
      </c>
      <c r="T63" s="4"/>
      <c r="U63" s="8" t="s">
        <v>43</v>
      </c>
    </row>
    <row r="64" spans="1:22" x14ac:dyDescent="0.3">
      <c r="A64" s="3">
        <v>1060</v>
      </c>
      <c r="B64" s="5" t="s">
        <v>121</v>
      </c>
      <c r="C64" s="5" t="s">
        <v>28</v>
      </c>
      <c r="D64" s="5" t="s">
        <v>33</v>
      </c>
      <c r="E64" s="8" t="str">
        <f t="shared" si="0"/>
        <v>ui_s1_fight_km_jue</v>
      </c>
      <c r="F64" s="8" t="str">
        <f t="shared" si="1"/>
        <v>ui_s1_fight_card1_tu_jiu</v>
      </c>
      <c r="G64" s="8" t="str">
        <f t="shared" si="2"/>
        <v/>
      </c>
      <c r="H64" s="8" t="s">
        <v>121</v>
      </c>
      <c r="I64" s="8" t="str">
        <f t="shared" si="3"/>
        <v>AudioNull</v>
      </c>
      <c r="J64" s="8" t="str">
        <f t="shared" si="4"/>
        <v/>
      </c>
      <c r="Q64" s="4" t="s">
        <v>245</v>
      </c>
      <c r="R64" s="4" t="s">
        <v>246</v>
      </c>
      <c r="S64" s="5" t="s">
        <v>247</v>
      </c>
      <c r="T64" s="4"/>
      <c r="U64" s="8" t="s">
        <v>43</v>
      </c>
    </row>
    <row r="65" spans="1:21" x14ac:dyDescent="0.3">
      <c r="A65" s="3">
        <v>1061</v>
      </c>
      <c r="B65" s="5" t="s">
        <v>156</v>
      </c>
      <c r="C65" s="5" t="s">
        <v>28</v>
      </c>
      <c r="D65" s="5" t="s">
        <v>39</v>
      </c>
      <c r="E65" s="8" t="str">
        <f t="shared" si="0"/>
        <v>ui_s1_fight_km_name_daoli</v>
      </c>
      <c r="F65" s="8" t="str">
        <f t="shared" si="1"/>
        <v>ui_s1_fight_card1_tu_daoli</v>
      </c>
      <c r="G65" s="8" t="str">
        <f t="shared" si="2"/>
        <v/>
      </c>
      <c r="H65" s="8" t="s">
        <v>248</v>
      </c>
      <c r="I65" s="8" t="str">
        <f t="shared" si="3"/>
        <v>AudioNull</v>
      </c>
      <c r="J65" s="8" t="str">
        <f t="shared" si="4"/>
        <v>ui_s1_fight_zhuangbei_026_daoli</v>
      </c>
      <c r="Q65" s="4" t="s">
        <v>249</v>
      </c>
      <c r="R65" s="5" t="s">
        <v>250</v>
      </c>
      <c r="S65" s="5" t="s">
        <v>251</v>
      </c>
      <c r="T65" s="4"/>
      <c r="U65" s="8" t="s">
        <v>43</v>
      </c>
    </row>
    <row r="66" spans="1:21" x14ac:dyDescent="0.3">
      <c r="A66" s="3">
        <v>1062</v>
      </c>
      <c r="B66" s="4" t="s">
        <v>152</v>
      </c>
      <c r="C66" s="5" t="s">
        <v>28</v>
      </c>
      <c r="D66" s="5" t="s">
        <v>46</v>
      </c>
      <c r="E66" s="8" t="str">
        <f t="shared" si="0"/>
        <v>ui_s1_fight_km_pantao</v>
      </c>
      <c r="F66" s="8" t="str">
        <f t="shared" si="1"/>
        <v>ui_s1_fight_card1_tu_tao_01</v>
      </c>
      <c r="G66" s="8" t="str">
        <f t="shared" si="2"/>
        <v/>
      </c>
      <c r="H66" s="8" t="s">
        <v>152</v>
      </c>
      <c r="I66" s="8" t="str">
        <f t="shared" si="3"/>
        <v>AudioNull</v>
      </c>
      <c r="J66" s="8" t="str">
        <f t="shared" si="4"/>
        <v/>
      </c>
      <c r="Q66" s="4" t="s">
        <v>252</v>
      </c>
      <c r="R66" s="5" t="s">
        <v>253</v>
      </c>
      <c r="S66" s="5" t="s">
        <v>254</v>
      </c>
      <c r="T66" s="4"/>
      <c r="U66" s="8" t="s">
        <v>43</v>
      </c>
    </row>
    <row r="67" spans="1:21" ht="13.5" customHeight="1" x14ac:dyDescent="0.3">
      <c r="A67" s="3">
        <v>1063</v>
      </c>
      <c r="B67" s="5" t="s">
        <v>160</v>
      </c>
      <c r="C67" s="5" t="s">
        <v>28</v>
      </c>
      <c r="D67" s="5" t="s">
        <v>51</v>
      </c>
      <c r="E67" s="8" t="str">
        <f t="shared" si="0"/>
        <v>ui_s1_fight_km_name_slz</v>
      </c>
      <c r="F67" s="8" t="str">
        <f t="shared" si="1"/>
        <v>ui_s1_fight_card1_tu_saluzi</v>
      </c>
      <c r="G67" s="8" t="str">
        <f t="shared" si="2"/>
        <v/>
      </c>
      <c r="H67" s="8" t="s">
        <v>255</v>
      </c>
      <c r="I67" s="8" t="str">
        <f t="shared" si="3"/>
        <v>AudioNull</v>
      </c>
      <c r="J67" s="8" t="str">
        <f t="shared" si="4"/>
        <v>ui_s1_fight_zhuangbei_024_saluzi</v>
      </c>
      <c r="Q67" s="4" t="s">
        <v>256</v>
      </c>
      <c r="R67" s="5" t="s">
        <v>257</v>
      </c>
      <c r="S67" s="5" t="s">
        <v>258</v>
      </c>
      <c r="T67" s="4"/>
      <c r="U67" s="8" t="s">
        <v>43</v>
      </c>
    </row>
    <row r="68" spans="1:21" x14ac:dyDescent="0.3">
      <c r="A68" s="3">
        <v>1064</v>
      </c>
      <c r="B68" s="5" t="s">
        <v>152</v>
      </c>
      <c r="C68" s="5" t="s">
        <v>28</v>
      </c>
      <c r="D68" s="5" t="s">
        <v>57</v>
      </c>
      <c r="E68" s="8" t="str">
        <f t="shared" si="0"/>
        <v>ui_s1_fight_km_pantao</v>
      </c>
      <c r="F68" s="8" t="str">
        <f t="shared" si="1"/>
        <v>ui_s1_fight_card1_tu_tao_01</v>
      </c>
      <c r="G68" s="8" t="str">
        <f t="shared" si="2"/>
        <v/>
      </c>
      <c r="H68" s="8" t="s">
        <v>152</v>
      </c>
      <c r="I68" s="8" t="str">
        <f t="shared" si="3"/>
        <v>AudioNull</v>
      </c>
      <c r="J68" s="8" t="str">
        <f t="shared" si="4"/>
        <v/>
      </c>
      <c r="Q68" s="4" t="s">
        <v>259</v>
      </c>
      <c r="R68" s="5" t="s">
        <v>260</v>
      </c>
      <c r="S68" s="5" t="s">
        <v>261</v>
      </c>
      <c r="T68" s="4"/>
      <c r="U68" s="8" t="s">
        <v>43</v>
      </c>
    </row>
    <row r="69" spans="1:21" x14ac:dyDescent="0.3">
      <c r="A69" s="3">
        <v>1065</v>
      </c>
      <c r="B69" s="5" t="s">
        <v>148</v>
      </c>
      <c r="C69" s="5" t="s">
        <v>28</v>
      </c>
      <c r="D69" s="5" t="s">
        <v>25</v>
      </c>
      <c r="E69" s="8" t="str">
        <f t="shared" si="0"/>
        <v>ui_s1_fight_km_name_zhfd</v>
      </c>
      <c r="F69" s="8" t="str">
        <f t="shared" si="1"/>
        <v>ui_s1_fight_card1_tu_zhuahuangfeidian</v>
      </c>
      <c r="G69" s="8" t="str">
        <f t="shared" si="2"/>
        <v/>
      </c>
      <c r="H69" s="8" t="s">
        <v>262</v>
      </c>
      <c r="I69" s="8" t="str">
        <f t="shared" si="3"/>
        <v>AudioNull</v>
      </c>
      <c r="J69" s="8" t="str">
        <f t="shared" si="4"/>
        <v>ui_s1_fight_zhuangbei_023_zhaohuangfeidian</v>
      </c>
      <c r="Q69" s="4" t="s">
        <v>263</v>
      </c>
      <c r="R69" s="5" t="s">
        <v>264</v>
      </c>
      <c r="S69" s="5" t="s">
        <v>265</v>
      </c>
      <c r="T69" s="4"/>
      <c r="U69" s="8" t="s">
        <v>43</v>
      </c>
    </row>
    <row r="70" spans="1:21" x14ac:dyDescent="0.3">
      <c r="A70" s="3">
        <v>1066</v>
      </c>
      <c r="B70" s="5" t="s">
        <v>112</v>
      </c>
      <c r="C70" s="5" t="s">
        <v>28</v>
      </c>
      <c r="D70" s="5" t="s">
        <v>28</v>
      </c>
      <c r="E70" s="8" t="str">
        <f t="shared" ref="E70:E129" si="5">IF(INDEX(R$8:R$67,MATCH($B70,$Q$8:$Q$67,0))=0,"",INDEX(R$8:R$67,MATCH($B70,$Q$8:$Q$67,0)))</f>
        <v>ui_s1_fight_km_name_ddys</v>
      </c>
      <c r="F70" s="8" t="str">
        <f t="shared" ref="F70:F129" si="6">IF(INDEX(S$8:S$67,MATCH($B70,$Q$8:$Q$67,0))=0,"",INDEX(S$8:S$67,MATCH($B70,$Q$8:$Q$67,0)))</f>
        <v>ui_s1_fight_card1_tu_ddys</v>
      </c>
      <c r="G70" s="8" t="str">
        <f t="shared" ref="G70:G129" si="7">IF(INDEX(T$8:T$67,MATCH($B70,$Q$8:$Q$67,0))=0,"",INDEX(T$8:T$67,MATCH($B70,$Q$8:$Q$67,0)))</f>
        <v/>
      </c>
      <c r="H70" s="8" t="s">
        <v>185</v>
      </c>
      <c r="I70" s="8" t="str">
        <f t="shared" ref="I70:I129" si="8">IF(INDEX(U$8:U$67,MATCH($B70,$Q$8:$Q$67,0))=0,"",INDEX(U$8:U$67,MATCH($B70,$Q$8:$Q$67,0)))</f>
        <v>AudioNull</v>
      </c>
      <c r="J70" s="8" t="str">
        <f t="shared" ref="J70:J129" si="9">IF(INDEX(V$8:V$67,MATCH($B70,$Q$8:$Q$67,0))=0,"",INDEX(V$8:V$67,MATCH($B70,$Q$8:$Q$67,0)))</f>
        <v/>
      </c>
      <c r="Q70" s="4" t="s">
        <v>266</v>
      </c>
      <c r="R70" s="5" t="s">
        <v>267</v>
      </c>
      <c r="S70" s="5" t="s">
        <v>268</v>
      </c>
      <c r="T70" s="4"/>
      <c r="U70" s="8" t="s">
        <v>43</v>
      </c>
    </row>
    <row r="71" spans="1:21" x14ac:dyDescent="0.3">
      <c r="A71" s="3">
        <v>1067</v>
      </c>
      <c r="B71" s="5" t="s">
        <v>121</v>
      </c>
      <c r="C71" s="5" t="s">
        <v>28</v>
      </c>
      <c r="D71" s="5" t="s">
        <v>31</v>
      </c>
      <c r="E71" s="8" t="str">
        <f t="shared" si="5"/>
        <v>ui_s1_fight_km_jue</v>
      </c>
      <c r="F71" s="8" t="str">
        <f t="shared" si="6"/>
        <v>ui_s1_fight_card1_tu_jiu</v>
      </c>
      <c r="G71" s="8" t="str">
        <f t="shared" si="7"/>
        <v/>
      </c>
      <c r="H71" s="8" t="s">
        <v>121</v>
      </c>
      <c r="I71" s="8" t="str">
        <f t="shared" si="8"/>
        <v>AudioNull</v>
      </c>
      <c r="J71" s="8" t="str">
        <f t="shared" si="9"/>
        <v/>
      </c>
      <c r="Q71" s="4" t="s">
        <v>269</v>
      </c>
      <c r="R71" s="5" t="s">
        <v>270</v>
      </c>
      <c r="S71" s="5" t="s">
        <v>271</v>
      </c>
      <c r="T71" s="4"/>
      <c r="U71" s="8" t="s">
        <v>43</v>
      </c>
    </row>
    <row r="72" spans="1:21" x14ac:dyDescent="0.3">
      <c r="A72" s="3">
        <v>1068</v>
      </c>
      <c r="B72" s="5" t="s">
        <v>121</v>
      </c>
      <c r="C72" s="5" t="s">
        <v>28</v>
      </c>
      <c r="D72" s="5" t="s">
        <v>33</v>
      </c>
      <c r="E72" s="8" t="str">
        <f t="shared" si="5"/>
        <v>ui_s1_fight_km_jue</v>
      </c>
      <c r="F72" s="8" t="str">
        <f t="shared" si="6"/>
        <v>ui_s1_fight_card1_tu_jiu</v>
      </c>
      <c r="G72" s="8" t="str">
        <f t="shared" si="7"/>
        <v/>
      </c>
      <c r="H72" s="8" t="s">
        <v>121</v>
      </c>
      <c r="I72" s="8" t="str">
        <f t="shared" si="8"/>
        <v>AudioNull</v>
      </c>
      <c r="J72" s="8" t="str">
        <f t="shared" si="9"/>
        <v/>
      </c>
      <c r="Q72" s="4" t="s">
        <v>272</v>
      </c>
      <c r="R72" s="5" t="s">
        <v>273</v>
      </c>
      <c r="S72" s="5" t="s">
        <v>274</v>
      </c>
      <c r="T72" s="4"/>
      <c r="U72" s="8" t="s">
        <v>43</v>
      </c>
    </row>
    <row r="73" spans="1:21" x14ac:dyDescent="0.3">
      <c r="A73" s="3">
        <v>1069</v>
      </c>
      <c r="B73" s="5" t="s">
        <v>164</v>
      </c>
      <c r="C73" s="5" t="s">
        <v>28</v>
      </c>
      <c r="D73" s="5" t="s">
        <v>39</v>
      </c>
      <c r="E73" s="8" t="str">
        <f t="shared" si="5"/>
        <v>ui_s1_fight_km_name_baitiwu</v>
      </c>
      <c r="F73" s="8" t="str">
        <f t="shared" si="6"/>
        <v>ui_s1_fight_card1_tu_baitiwu</v>
      </c>
      <c r="G73" s="8" t="str">
        <f t="shared" si="7"/>
        <v/>
      </c>
      <c r="H73" s="8" t="s">
        <v>275</v>
      </c>
      <c r="I73" s="8" t="str">
        <f t="shared" si="8"/>
        <v>AudioNull</v>
      </c>
      <c r="J73" s="8" t="str">
        <f t="shared" si="9"/>
        <v>ui_s1_fight_zhuangbei_025_baitiwu</v>
      </c>
      <c r="Q73" s="4" t="s">
        <v>276</v>
      </c>
      <c r="R73" s="5" t="s">
        <v>277</v>
      </c>
      <c r="S73" s="5" t="s">
        <v>278</v>
      </c>
      <c r="T73" s="4"/>
      <c r="U73" s="8" t="s">
        <v>43</v>
      </c>
    </row>
    <row r="74" spans="1:21" x14ac:dyDescent="0.3">
      <c r="A74" s="3">
        <v>1070</v>
      </c>
      <c r="B74" s="5" t="s">
        <v>177</v>
      </c>
      <c r="C74" s="5" t="s">
        <v>28</v>
      </c>
      <c r="D74" s="5" t="s">
        <v>46</v>
      </c>
      <c r="E74" s="8" t="str">
        <f t="shared" si="5"/>
        <v>ui_s1_fight_km_wuzhui</v>
      </c>
      <c r="F74" s="8" t="str">
        <f t="shared" si="6"/>
        <v>ui_s1_fight_card1_tu_wuzhui</v>
      </c>
      <c r="G74" s="8" t="str">
        <f t="shared" si="7"/>
        <v/>
      </c>
      <c r="H74" s="8" t="s">
        <v>279</v>
      </c>
      <c r="I74" s="8" t="str">
        <f t="shared" si="8"/>
        <v>AudioNull</v>
      </c>
      <c r="J74" s="8" t="str">
        <f t="shared" si="9"/>
        <v>ui_s1_fight_zhuangbei_019_wuzhui</v>
      </c>
      <c r="Q74" s="5" t="s">
        <v>280</v>
      </c>
      <c r="R74" s="5" t="s">
        <v>281</v>
      </c>
      <c r="S74" s="5" t="s">
        <v>282</v>
      </c>
      <c r="U74" s="8" t="s">
        <v>43</v>
      </c>
    </row>
    <row r="75" spans="1:21" x14ac:dyDescent="0.3">
      <c r="A75" s="3">
        <v>1071</v>
      </c>
      <c r="B75" s="5" t="s">
        <v>121</v>
      </c>
      <c r="C75" s="5" t="s">
        <v>28</v>
      </c>
      <c r="D75" s="5" t="s">
        <v>51</v>
      </c>
      <c r="E75" s="8" t="str">
        <f t="shared" si="5"/>
        <v>ui_s1_fight_km_jue</v>
      </c>
      <c r="F75" s="8" t="str">
        <f t="shared" si="6"/>
        <v>ui_s1_fight_card1_tu_jiu</v>
      </c>
      <c r="G75" s="8" t="str">
        <f t="shared" si="7"/>
        <v/>
      </c>
      <c r="H75" s="8" t="s">
        <v>121</v>
      </c>
      <c r="I75" s="8" t="str">
        <f t="shared" si="8"/>
        <v>AudioNull</v>
      </c>
      <c r="J75" s="8" t="str">
        <f t="shared" si="9"/>
        <v/>
      </c>
      <c r="Q75" s="5" t="s">
        <v>283</v>
      </c>
      <c r="R75" s="5" t="s">
        <v>284</v>
      </c>
      <c r="S75" s="5" t="s">
        <v>285</v>
      </c>
      <c r="U75" s="8" t="s">
        <v>43</v>
      </c>
    </row>
    <row r="76" spans="1:21" x14ac:dyDescent="0.3">
      <c r="A76" s="3">
        <v>1072</v>
      </c>
      <c r="B76" s="5" t="s">
        <v>152</v>
      </c>
      <c r="C76" s="5" t="s">
        <v>28</v>
      </c>
      <c r="D76" s="5" t="s">
        <v>57</v>
      </c>
      <c r="E76" s="8" t="str">
        <f t="shared" si="5"/>
        <v>ui_s1_fight_km_pantao</v>
      </c>
      <c r="F76" s="8" t="str">
        <f t="shared" si="6"/>
        <v>ui_s1_fight_card1_tu_tao_01</v>
      </c>
      <c r="G76" s="8" t="str">
        <f t="shared" si="7"/>
        <v/>
      </c>
      <c r="H76" s="8" t="s">
        <v>152</v>
      </c>
      <c r="I76" s="8" t="str">
        <f t="shared" si="8"/>
        <v>AudioNull</v>
      </c>
      <c r="J76" s="8" t="str">
        <f t="shared" si="9"/>
        <v/>
      </c>
      <c r="Q76" s="5" t="s">
        <v>286</v>
      </c>
      <c r="R76" s="5" t="s">
        <v>287</v>
      </c>
      <c r="S76" s="5" t="s">
        <v>288</v>
      </c>
      <c r="U76" s="8" t="s">
        <v>43</v>
      </c>
    </row>
    <row r="77" spans="1:21" x14ac:dyDescent="0.3">
      <c r="A77" s="3">
        <v>1073</v>
      </c>
      <c r="B77" s="4" t="s">
        <v>152</v>
      </c>
      <c r="C77" s="5" t="s">
        <v>28</v>
      </c>
      <c r="D77" s="5" t="s">
        <v>25</v>
      </c>
      <c r="E77" s="8" t="str">
        <f t="shared" si="5"/>
        <v>ui_s1_fight_km_pantao</v>
      </c>
      <c r="F77" s="8" t="str">
        <f t="shared" si="6"/>
        <v>ui_s1_fight_card1_tu_tao_01</v>
      </c>
      <c r="G77" s="8" t="str">
        <f t="shared" si="7"/>
        <v/>
      </c>
      <c r="H77" s="8" t="s">
        <v>152</v>
      </c>
      <c r="I77" s="8" t="str">
        <f t="shared" si="8"/>
        <v>AudioNull</v>
      </c>
      <c r="J77" s="8" t="str">
        <f t="shared" si="9"/>
        <v/>
      </c>
      <c r="Q77" s="5" t="s">
        <v>289</v>
      </c>
      <c r="R77" s="5" t="s">
        <v>290</v>
      </c>
      <c r="S77" s="5" t="s">
        <v>291</v>
      </c>
      <c r="U77" s="8" t="s">
        <v>43</v>
      </c>
    </row>
    <row r="78" spans="1:21" x14ac:dyDescent="0.3">
      <c r="A78" s="3">
        <v>1074</v>
      </c>
      <c r="B78" s="5" t="s">
        <v>112</v>
      </c>
      <c r="C78" s="5" t="s">
        <v>28</v>
      </c>
      <c r="D78" s="5" t="s">
        <v>28</v>
      </c>
      <c r="E78" s="8" t="str">
        <f t="shared" si="5"/>
        <v>ui_s1_fight_km_name_ddys</v>
      </c>
      <c r="F78" s="8" t="str">
        <f t="shared" si="6"/>
        <v>ui_s1_fight_card1_tu_ddys</v>
      </c>
      <c r="G78" s="8" t="str">
        <f t="shared" si="7"/>
        <v/>
      </c>
      <c r="H78" s="8" t="s">
        <v>185</v>
      </c>
      <c r="I78" s="8" t="str">
        <f t="shared" si="8"/>
        <v>AudioNull</v>
      </c>
      <c r="J78" s="8" t="str">
        <f t="shared" si="9"/>
        <v/>
      </c>
      <c r="Q78" s="5" t="s">
        <v>292</v>
      </c>
      <c r="R78" s="5" t="s">
        <v>293</v>
      </c>
      <c r="S78" s="5" t="s">
        <v>294</v>
      </c>
      <c r="U78" s="8" t="s">
        <v>43</v>
      </c>
    </row>
    <row r="79" spans="1:21" x14ac:dyDescent="0.3">
      <c r="A79" s="3">
        <v>1075</v>
      </c>
      <c r="B79" s="5" t="s">
        <v>121</v>
      </c>
      <c r="C79" s="5" t="s">
        <v>28</v>
      </c>
      <c r="D79" s="5" t="s">
        <v>31</v>
      </c>
      <c r="E79" s="8" t="str">
        <f t="shared" si="5"/>
        <v>ui_s1_fight_km_jue</v>
      </c>
      <c r="F79" s="8" t="str">
        <f t="shared" si="6"/>
        <v>ui_s1_fight_card1_tu_jiu</v>
      </c>
      <c r="G79" s="8" t="str">
        <f t="shared" si="7"/>
        <v/>
      </c>
      <c r="H79" s="8" t="s">
        <v>121</v>
      </c>
      <c r="I79" s="8" t="str">
        <f t="shared" si="8"/>
        <v>AudioNull</v>
      </c>
      <c r="J79" s="8" t="str">
        <f t="shared" si="9"/>
        <v/>
      </c>
      <c r="Q79" s="5" t="s">
        <v>295</v>
      </c>
      <c r="R79" s="5" t="s">
        <v>296</v>
      </c>
      <c r="S79" s="5" t="s">
        <v>297</v>
      </c>
      <c r="U79" s="8" t="s">
        <v>43</v>
      </c>
    </row>
    <row r="80" spans="1:21" x14ac:dyDescent="0.3">
      <c r="A80" s="3">
        <v>1076</v>
      </c>
      <c r="B80" s="5" t="s">
        <v>121</v>
      </c>
      <c r="C80" s="5" t="s">
        <v>28</v>
      </c>
      <c r="D80" s="5" t="s">
        <v>33</v>
      </c>
      <c r="E80" s="8" t="str">
        <f t="shared" si="5"/>
        <v>ui_s1_fight_km_jue</v>
      </c>
      <c r="F80" s="8" t="str">
        <f t="shared" si="6"/>
        <v>ui_s1_fight_card1_tu_jiu</v>
      </c>
      <c r="G80" s="8" t="str">
        <f t="shared" si="7"/>
        <v/>
      </c>
      <c r="H80" s="8" t="s">
        <v>121</v>
      </c>
      <c r="I80" s="8" t="str">
        <f t="shared" si="8"/>
        <v>AudioNull</v>
      </c>
      <c r="J80" s="8" t="str">
        <f t="shared" si="9"/>
        <v/>
      </c>
      <c r="Q80" s="5" t="s">
        <v>298</v>
      </c>
      <c r="R80" s="5" t="s">
        <v>299</v>
      </c>
      <c r="S80" s="5" t="s">
        <v>300</v>
      </c>
      <c r="U80" s="8" t="s">
        <v>43</v>
      </c>
    </row>
    <row r="81" spans="1:21" x14ac:dyDescent="0.3">
      <c r="A81" s="3">
        <v>1077</v>
      </c>
      <c r="B81" s="5" t="s">
        <v>132</v>
      </c>
      <c r="C81" s="5" t="s">
        <v>28</v>
      </c>
      <c r="D81" s="5" t="s">
        <v>39</v>
      </c>
      <c r="E81" s="8" t="str">
        <f t="shared" si="5"/>
        <v>ui_s1_fight_km_name_jueying</v>
      </c>
      <c r="F81" s="8" t="str">
        <f t="shared" si="6"/>
        <v>ui_s1_fight_card1_tu_jueying</v>
      </c>
      <c r="G81" s="8" t="str">
        <f t="shared" si="7"/>
        <v/>
      </c>
      <c r="H81" s="8" t="s">
        <v>301</v>
      </c>
      <c r="I81" s="8" t="str">
        <f t="shared" si="8"/>
        <v>AudioNull</v>
      </c>
      <c r="J81" s="8" t="str">
        <f t="shared" si="9"/>
        <v>ui_s1_fight_zhuangbei_022_jueying</v>
      </c>
      <c r="Q81" s="5" t="s">
        <v>302</v>
      </c>
      <c r="R81" s="5" t="s">
        <v>303</v>
      </c>
      <c r="S81" s="5" t="s">
        <v>304</v>
      </c>
      <c r="U81" s="8" t="s">
        <v>43</v>
      </c>
    </row>
    <row r="82" spans="1:21" x14ac:dyDescent="0.3">
      <c r="A82" s="3">
        <v>1078</v>
      </c>
      <c r="B82" s="4" t="s">
        <v>152</v>
      </c>
      <c r="C82" s="5" t="s">
        <v>28</v>
      </c>
      <c r="D82" s="5" t="s">
        <v>46</v>
      </c>
      <c r="E82" s="8" t="str">
        <f t="shared" si="5"/>
        <v>ui_s1_fight_km_pantao</v>
      </c>
      <c r="F82" s="8" t="str">
        <f t="shared" si="6"/>
        <v>ui_s1_fight_card1_tu_tao_01</v>
      </c>
      <c r="G82" s="8" t="str">
        <f t="shared" si="7"/>
        <v/>
      </c>
      <c r="H82" s="8" t="s">
        <v>152</v>
      </c>
      <c r="I82" s="8" t="str">
        <f t="shared" si="8"/>
        <v>AudioNull</v>
      </c>
      <c r="J82" s="8" t="str">
        <f t="shared" si="9"/>
        <v/>
      </c>
      <c r="Q82" s="5" t="s">
        <v>305</v>
      </c>
      <c r="R82" s="5" t="s">
        <v>306</v>
      </c>
      <c r="S82" s="5" t="s">
        <v>307</v>
      </c>
      <c r="U82" s="8" t="s">
        <v>43</v>
      </c>
    </row>
    <row r="83" spans="1:21" x14ac:dyDescent="0.3">
      <c r="A83" s="3">
        <v>1079</v>
      </c>
      <c r="B83" s="5" t="s">
        <v>152</v>
      </c>
      <c r="C83" s="5" t="s">
        <v>28</v>
      </c>
      <c r="D83" s="5" t="s">
        <v>51</v>
      </c>
      <c r="E83" s="8" t="str">
        <f t="shared" si="5"/>
        <v>ui_s1_fight_km_pantao</v>
      </c>
      <c r="F83" s="8" t="str">
        <f t="shared" si="6"/>
        <v>ui_s1_fight_card1_tu_tao_01</v>
      </c>
      <c r="G83" s="8" t="str">
        <f t="shared" si="7"/>
        <v/>
      </c>
      <c r="H83" s="8" t="s">
        <v>152</v>
      </c>
      <c r="I83" s="8" t="str">
        <f t="shared" si="8"/>
        <v>AudioNull</v>
      </c>
      <c r="J83" s="8" t="str">
        <f t="shared" si="9"/>
        <v/>
      </c>
      <c r="Q83" s="5" t="s">
        <v>308</v>
      </c>
      <c r="R83" s="5" t="s">
        <v>309</v>
      </c>
      <c r="S83" s="5" t="s">
        <v>310</v>
      </c>
      <c r="U83" s="8" t="s">
        <v>43</v>
      </c>
    </row>
    <row r="84" spans="1:21" x14ac:dyDescent="0.3">
      <c r="A84" s="3">
        <v>1080</v>
      </c>
      <c r="B84" s="5" t="s">
        <v>152</v>
      </c>
      <c r="C84" s="5" t="s">
        <v>28</v>
      </c>
      <c r="D84" s="5" t="s">
        <v>57</v>
      </c>
      <c r="E84" s="8" t="str">
        <f t="shared" si="5"/>
        <v>ui_s1_fight_km_pantao</v>
      </c>
      <c r="F84" s="8" t="str">
        <f t="shared" si="6"/>
        <v>ui_s1_fight_card1_tu_tao_01</v>
      </c>
      <c r="G84" s="8" t="str">
        <f t="shared" si="7"/>
        <v/>
      </c>
      <c r="H84" s="8" t="s">
        <v>152</v>
      </c>
      <c r="I84" s="8" t="str">
        <f t="shared" si="8"/>
        <v>AudioNull</v>
      </c>
      <c r="J84" s="8" t="str">
        <f t="shared" si="9"/>
        <v/>
      </c>
      <c r="Q84" s="5" t="s">
        <v>311</v>
      </c>
      <c r="R84" s="5" t="s">
        <v>312</v>
      </c>
      <c r="S84" s="5" t="s">
        <v>313</v>
      </c>
      <c r="U84" s="8" t="s">
        <v>43</v>
      </c>
    </row>
    <row r="85" spans="1:21" x14ac:dyDescent="0.3">
      <c r="A85" s="3">
        <v>1081</v>
      </c>
      <c r="B85" s="5" t="s">
        <v>171</v>
      </c>
      <c r="C85" s="5" t="s">
        <v>31</v>
      </c>
      <c r="D85" s="5" t="s">
        <v>25</v>
      </c>
      <c r="E85" s="8" t="str">
        <f t="shared" si="5"/>
        <v>ui_s1_fight_km_name_wxkj</v>
      </c>
      <c r="F85" s="8" t="str">
        <f t="shared" si="6"/>
        <v>ui_s1_fight_card1_tu_wxkj</v>
      </c>
      <c r="G85" s="8" t="str">
        <f t="shared" si="7"/>
        <v/>
      </c>
      <c r="H85" s="8" t="s">
        <v>314</v>
      </c>
      <c r="I85" s="8" t="str">
        <f t="shared" si="8"/>
        <v>AudioNull</v>
      </c>
      <c r="J85" s="8" t="str">
        <f t="shared" si="9"/>
        <v/>
      </c>
      <c r="Q85" s="5" t="s">
        <v>315</v>
      </c>
      <c r="R85" s="5" t="s">
        <v>316</v>
      </c>
      <c r="S85" s="5" t="s">
        <v>317</v>
      </c>
      <c r="U85" s="8" t="s">
        <v>43</v>
      </c>
    </row>
    <row r="86" spans="1:21" x14ac:dyDescent="0.3">
      <c r="A86" s="3">
        <v>1082</v>
      </c>
      <c r="B86" s="5" t="s">
        <v>174</v>
      </c>
      <c r="C86" s="5" t="s">
        <v>31</v>
      </c>
      <c r="D86" s="5" t="s">
        <v>28</v>
      </c>
      <c r="E86" s="8" t="str">
        <f t="shared" si="5"/>
        <v>ui_s1_fight_km_shanbi</v>
      </c>
      <c r="F86" s="8" t="str">
        <f t="shared" si="6"/>
        <v>ui_s1_fight_card1_tu_shan</v>
      </c>
      <c r="G86" s="8" t="str">
        <f t="shared" si="7"/>
        <v/>
      </c>
      <c r="H86" s="8" t="s">
        <v>174</v>
      </c>
      <c r="I86" s="8" t="str">
        <f t="shared" si="8"/>
        <v>AudioNull</v>
      </c>
      <c r="J86" s="8" t="str">
        <f t="shared" si="9"/>
        <v/>
      </c>
      <c r="Q86" s="5" t="s">
        <v>318</v>
      </c>
      <c r="R86" s="5" t="s">
        <v>319</v>
      </c>
      <c r="S86" s="5" t="s">
        <v>320</v>
      </c>
      <c r="U86" s="8" t="s">
        <v>43</v>
      </c>
    </row>
    <row r="87" spans="1:21" x14ac:dyDescent="0.3">
      <c r="A87" s="3">
        <v>1083</v>
      </c>
      <c r="B87" s="5" t="s">
        <v>174</v>
      </c>
      <c r="C87" s="5" t="s">
        <v>31</v>
      </c>
      <c r="D87" s="5" t="s">
        <v>31</v>
      </c>
      <c r="E87" s="8" t="str">
        <f t="shared" si="5"/>
        <v>ui_s1_fight_km_shanbi</v>
      </c>
      <c r="F87" s="8" t="str">
        <f t="shared" si="6"/>
        <v>ui_s1_fight_card1_tu_shan</v>
      </c>
      <c r="G87" s="8" t="str">
        <f t="shared" si="7"/>
        <v/>
      </c>
      <c r="H87" s="8" t="s">
        <v>174</v>
      </c>
      <c r="I87" s="8" t="str">
        <f t="shared" si="8"/>
        <v>AudioNull</v>
      </c>
      <c r="J87" s="8" t="str">
        <f t="shared" si="9"/>
        <v/>
      </c>
      <c r="Q87" s="5" t="s">
        <v>321</v>
      </c>
      <c r="R87" s="5" t="s">
        <v>322</v>
      </c>
      <c r="S87" s="5" t="s">
        <v>323</v>
      </c>
      <c r="U87" s="8" t="s">
        <v>43</v>
      </c>
    </row>
    <row r="88" spans="1:21" x14ac:dyDescent="0.3">
      <c r="A88" s="3">
        <v>1084</v>
      </c>
      <c r="B88" s="5" t="s">
        <v>174</v>
      </c>
      <c r="C88" s="5" t="s">
        <v>31</v>
      </c>
      <c r="D88" s="5" t="s">
        <v>33</v>
      </c>
      <c r="E88" s="8" t="str">
        <f t="shared" si="5"/>
        <v>ui_s1_fight_km_shanbi</v>
      </c>
      <c r="F88" s="8" t="str">
        <f t="shared" si="6"/>
        <v>ui_s1_fight_card1_tu_shan</v>
      </c>
      <c r="G88" s="8" t="str">
        <f t="shared" si="7"/>
        <v/>
      </c>
      <c r="H88" s="8" t="s">
        <v>174</v>
      </c>
      <c r="I88" s="8" t="str">
        <f t="shared" si="8"/>
        <v>AudioNull</v>
      </c>
      <c r="J88" s="8" t="str">
        <f t="shared" si="9"/>
        <v/>
      </c>
      <c r="Q88" s="5" t="s">
        <v>324</v>
      </c>
      <c r="R88" s="5" t="s">
        <v>325</v>
      </c>
      <c r="S88" s="5" t="s">
        <v>326</v>
      </c>
      <c r="U88" s="8" t="s">
        <v>43</v>
      </c>
    </row>
    <row r="89" spans="1:21" x14ac:dyDescent="0.3">
      <c r="A89" s="3">
        <v>1085</v>
      </c>
      <c r="B89" s="5" t="s">
        <v>182</v>
      </c>
      <c r="C89" s="5" t="s">
        <v>31</v>
      </c>
      <c r="D89" s="5" t="s">
        <v>39</v>
      </c>
      <c r="E89" s="8" t="str">
        <f t="shared" si="5"/>
        <v>ui_s1_fight_km_name_shunshouqianyang</v>
      </c>
      <c r="F89" s="8" t="str">
        <f t="shared" si="6"/>
        <v>ui_s1_fight_card1_tu_ssqy</v>
      </c>
      <c r="G89" s="8" t="str">
        <f t="shared" si="7"/>
        <v/>
      </c>
      <c r="H89" s="8" t="s">
        <v>327</v>
      </c>
      <c r="I89" s="8" t="str">
        <f t="shared" si="8"/>
        <v>AudioNull</v>
      </c>
      <c r="J89" s="8" t="str">
        <f t="shared" si="9"/>
        <v/>
      </c>
      <c r="Q89" s="5" t="s">
        <v>328</v>
      </c>
      <c r="R89" s="5" t="s">
        <v>329</v>
      </c>
      <c r="S89" s="5" t="s">
        <v>330</v>
      </c>
      <c r="U89" s="8" t="s">
        <v>43</v>
      </c>
    </row>
    <row r="90" spans="1:21" x14ac:dyDescent="0.3">
      <c r="A90" s="3">
        <v>1086</v>
      </c>
      <c r="B90" s="5" t="s">
        <v>186</v>
      </c>
      <c r="C90" s="5" t="s">
        <v>31</v>
      </c>
      <c r="D90" s="5" t="s">
        <v>46</v>
      </c>
      <c r="E90" s="8" t="str">
        <f t="shared" si="5"/>
        <v>ui_s1_fight_km_name_ghcq</v>
      </c>
      <c r="F90" s="8" t="str">
        <f t="shared" si="6"/>
        <v>ui_s1_fight_card1_tu_ghcq</v>
      </c>
      <c r="G90" s="8" t="str">
        <f t="shared" si="7"/>
        <v/>
      </c>
      <c r="H90" s="8" t="s">
        <v>331</v>
      </c>
      <c r="I90" s="8" t="str">
        <f t="shared" si="8"/>
        <v>AudioNull</v>
      </c>
      <c r="J90" s="8" t="str">
        <f t="shared" si="9"/>
        <v/>
      </c>
      <c r="Q90" s="5" t="s">
        <v>332</v>
      </c>
      <c r="R90" s="5" t="s">
        <v>333</v>
      </c>
      <c r="S90" s="5" t="s">
        <v>334</v>
      </c>
      <c r="U90" s="8" t="s">
        <v>43</v>
      </c>
    </row>
    <row r="91" spans="1:21" x14ac:dyDescent="0.3">
      <c r="A91" s="3">
        <v>1087</v>
      </c>
      <c r="B91" s="4" t="s">
        <v>174</v>
      </c>
      <c r="C91" s="5" t="s">
        <v>31</v>
      </c>
      <c r="D91" s="5" t="s">
        <v>51</v>
      </c>
      <c r="E91" s="8" t="str">
        <f t="shared" si="5"/>
        <v>ui_s1_fight_km_shanbi</v>
      </c>
      <c r="F91" s="8" t="str">
        <f t="shared" si="6"/>
        <v>ui_s1_fight_card1_tu_shan</v>
      </c>
      <c r="G91" s="8" t="str">
        <f t="shared" si="7"/>
        <v/>
      </c>
      <c r="H91" s="8" t="s">
        <v>174</v>
      </c>
      <c r="I91" s="8" t="str">
        <f t="shared" si="8"/>
        <v>AudioNull</v>
      </c>
      <c r="J91" s="8" t="str">
        <f t="shared" si="9"/>
        <v/>
      </c>
      <c r="Q91" s="5" t="s">
        <v>335</v>
      </c>
      <c r="R91" s="5" t="s">
        <v>336</v>
      </c>
      <c r="S91" s="5" t="s">
        <v>337</v>
      </c>
      <c r="U91" s="8" t="s">
        <v>43</v>
      </c>
    </row>
    <row r="92" spans="1:21" x14ac:dyDescent="0.3">
      <c r="A92" s="3">
        <v>1088</v>
      </c>
      <c r="B92" s="5" t="s">
        <v>190</v>
      </c>
      <c r="C92" s="5" t="s">
        <v>31</v>
      </c>
      <c r="D92" s="5" t="s">
        <v>57</v>
      </c>
      <c r="E92" s="8" t="str">
        <f t="shared" si="5"/>
        <v>ui_s1_fight_km_name_lebusishu</v>
      </c>
      <c r="F92" s="8" t="str">
        <f t="shared" si="6"/>
        <v>ui_s1_fight_card1_tu_lbss</v>
      </c>
      <c r="G92" s="8" t="str">
        <f t="shared" si="7"/>
        <v/>
      </c>
      <c r="H92" s="8" t="s">
        <v>338</v>
      </c>
      <c r="I92" s="8" t="str">
        <f t="shared" si="8"/>
        <v>AudioNull</v>
      </c>
      <c r="J92" s="8" t="str">
        <f t="shared" si="9"/>
        <v/>
      </c>
      <c r="Q92" s="5" t="s">
        <v>339</v>
      </c>
      <c r="R92" s="5" t="s">
        <v>340</v>
      </c>
      <c r="S92" s="5" t="s">
        <v>341</v>
      </c>
      <c r="U92" s="8" t="s">
        <v>43</v>
      </c>
    </row>
    <row r="93" spans="1:21" x14ac:dyDescent="0.3">
      <c r="A93" s="3">
        <v>1089</v>
      </c>
      <c r="B93" s="5" t="s">
        <v>171</v>
      </c>
      <c r="C93" s="5" t="s">
        <v>31</v>
      </c>
      <c r="D93" s="5" t="s">
        <v>25</v>
      </c>
      <c r="E93" s="8" t="str">
        <f t="shared" si="5"/>
        <v>ui_s1_fight_km_name_wxkj</v>
      </c>
      <c r="F93" s="8" t="str">
        <f t="shared" si="6"/>
        <v>ui_s1_fight_card1_tu_wxkj</v>
      </c>
      <c r="G93" s="8" t="str">
        <f t="shared" si="7"/>
        <v/>
      </c>
      <c r="H93" s="8" t="s">
        <v>342</v>
      </c>
      <c r="I93" s="8" t="str">
        <f t="shared" si="8"/>
        <v>AudioNull</v>
      </c>
      <c r="J93" s="8" t="str">
        <f t="shared" si="9"/>
        <v/>
      </c>
      <c r="Q93" s="11" t="s">
        <v>343</v>
      </c>
      <c r="R93" s="11" t="s">
        <v>344</v>
      </c>
      <c r="S93" s="5" t="s">
        <v>345</v>
      </c>
      <c r="U93" s="8" t="s">
        <v>43</v>
      </c>
    </row>
    <row r="94" spans="1:21" x14ac:dyDescent="0.3">
      <c r="A94" s="3">
        <v>1090</v>
      </c>
      <c r="B94" s="5" t="s">
        <v>174</v>
      </c>
      <c r="C94" s="5" t="s">
        <v>31</v>
      </c>
      <c r="D94" s="5" t="s">
        <v>28</v>
      </c>
      <c r="E94" s="8" t="str">
        <f t="shared" si="5"/>
        <v>ui_s1_fight_km_shanbi</v>
      </c>
      <c r="F94" s="8" t="str">
        <f t="shared" si="6"/>
        <v>ui_s1_fight_card1_tu_shan</v>
      </c>
      <c r="G94" s="8" t="str">
        <f t="shared" si="7"/>
        <v/>
      </c>
      <c r="H94" s="8" t="s">
        <v>174</v>
      </c>
      <c r="I94" s="8" t="str">
        <f t="shared" si="8"/>
        <v>AudioNull</v>
      </c>
      <c r="J94" s="8" t="str">
        <f t="shared" si="9"/>
        <v/>
      </c>
      <c r="Q94" s="5" t="s">
        <v>346</v>
      </c>
      <c r="R94" s="5" t="s">
        <v>347</v>
      </c>
      <c r="S94" s="5" t="s">
        <v>114</v>
      </c>
      <c r="U94" s="8" t="s">
        <v>43</v>
      </c>
    </row>
    <row r="95" spans="1:21" x14ac:dyDescent="0.3">
      <c r="A95" s="3">
        <v>1091</v>
      </c>
      <c r="B95" s="4" t="s">
        <v>174</v>
      </c>
      <c r="C95" s="5" t="s">
        <v>31</v>
      </c>
      <c r="D95" s="5" t="s">
        <v>31</v>
      </c>
      <c r="E95" s="8" t="str">
        <f t="shared" si="5"/>
        <v>ui_s1_fight_km_shanbi</v>
      </c>
      <c r="F95" s="8" t="str">
        <f t="shared" si="6"/>
        <v>ui_s1_fight_card1_tu_shan</v>
      </c>
      <c r="G95" s="8" t="str">
        <f t="shared" si="7"/>
        <v/>
      </c>
      <c r="H95" s="8" t="s">
        <v>174</v>
      </c>
      <c r="I95" s="8" t="str">
        <f t="shared" si="8"/>
        <v>AudioNull</v>
      </c>
      <c r="J95" s="8" t="str">
        <f t="shared" si="9"/>
        <v/>
      </c>
      <c r="Q95" s="5" t="s">
        <v>348</v>
      </c>
      <c r="R95" s="5" t="s">
        <v>349</v>
      </c>
      <c r="S95" s="5" t="s">
        <v>36</v>
      </c>
      <c r="U95" s="8" t="s">
        <v>43</v>
      </c>
    </row>
    <row r="96" spans="1:21" x14ac:dyDescent="0.3">
      <c r="A96" s="3">
        <v>1092</v>
      </c>
      <c r="B96" s="4" t="s">
        <v>174</v>
      </c>
      <c r="C96" s="5" t="s">
        <v>31</v>
      </c>
      <c r="D96" s="5" t="s">
        <v>33</v>
      </c>
      <c r="E96" s="8" t="str">
        <f t="shared" si="5"/>
        <v>ui_s1_fight_km_shanbi</v>
      </c>
      <c r="F96" s="8" t="str">
        <f t="shared" si="6"/>
        <v>ui_s1_fight_card1_tu_shan</v>
      </c>
      <c r="G96" s="8" t="str">
        <f t="shared" si="7"/>
        <v/>
      </c>
      <c r="H96" s="8" t="s">
        <v>174</v>
      </c>
      <c r="I96" s="8" t="str">
        <f t="shared" si="8"/>
        <v>AudioNull</v>
      </c>
      <c r="J96" s="8" t="str">
        <f t="shared" si="9"/>
        <v/>
      </c>
      <c r="Q96" s="4" t="s">
        <v>350</v>
      </c>
      <c r="R96" s="5" t="s">
        <v>351</v>
      </c>
      <c r="S96" s="5" t="s">
        <v>66</v>
      </c>
      <c r="U96" s="8" t="s">
        <v>43</v>
      </c>
    </row>
    <row r="97" spans="1:21" x14ac:dyDescent="0.3">
      <c r="A97" s="3">
        <v>1093</v>
      </c>
      <c r="B97" s="5" t="s">
        <v>182</v>
      </c>
      <c r="C97" s="5" t="s">
        <v>31</v>
      </c>
      <c r="D97" s="5" t="s">
        <v>39</v>
      </c>
      <c r="E97" s="8" t="str">
        <f t="shared" si="5"/>
        <v>ui_s1_fight_km_name_shunshouqianyang</v>
      </c>
      <c r="F97" s="8" t="str">
        <f t="shared" si="6"/>
        <v>ui_s1_fight_card1_tu_ssqy</v>
      </c>
      <c r="G97" s="8" t="str">
        <f t="shared" si="7"/>
        <v/>
      </c>
      <c r="H97" s="8" t="s">
        <v>327</v>
      </c>
      <c r="I97" s="8" t="str">
        <f t="shared" si="8"/>
        <v>AudioNull</v>
      </c>
      <c r="J97" s="8" t="str">
        <f t="shared" si="9"/>
        <v/>
      </c>
      <c r="Q97" s="5" t="s">
        <v>352</v>
      </c>
      <c r="R97" s="5" t="s">
        <v>353</v>
      </c>
      <c r="S97" s="5" t="s">
        <v>60</v>
      </c>
      <c r="U97" s="8" t="s">
        <v>43</v>
      </c>
    </row>
    <row r="98" spans="1:21" x14ac:dyDescent="0.3">
      <c r="A98" s="3">
        <v>1094</v>
      </c>
      <c r="B98" s="5" t="s">
        <v>186</v>
      </c>
      <c r="C98" s="5" t="s">
        <v>31</v>
      </c>
      <c r="D98" s="5" t="s">
        <v>46</v>
      </c>
      <c r="E98" s="8" t="str">
        <f t="shared" si="5"/>
        <v>ui_s1_fight_km_name_ghcq</v>
      </c>
      <c r="F98" s="8" t="str">
        <f t="shared" si="6"/>
        <v>ui_s1_fight_card1_tu_ghcq</v>
      </c>
      <c r="G98" s="8" t="str">
        <f t="shared" si="7"/>
        <v/>
      </c>
      <c r="H98" s="8" t="s">
        <v>331</v>
      </c>
      <c r="I98" s="8" t="str">
        <f t="shared" si="8"/>
        <v>AudioNull</v>
      </c>
      <c r="J98" s="8" t="str">
        <f t="shared" si="9"/>
        <v/>
      </c>
      <c r="Q98" s="5" t="s">
        <v>354</v>
      </c>
      <c r="R98" s="5" t="s">
        <v>355</v>
      </c>
      <c r="S98" s="5" t="s">
        <v>202</v>
      </c>
      <c r="U98" s="8" t="s">
        <v>43</v>
      </c>
    </row>
    <row r="99" spans="1:21" ht="12.75" customHeight="1" x14ac:dyDescent="0.3">
      <c r="A99" s="3">
        <v>1095</v>
      </c>
      <c r="B99" s="4" t="s">
        <v>174</v>
      </c>
      <c r="C99" s="5" t="s">
        <v>31</v>
      </c>
      <c r="D99" s="5" t="s">
        <v>51</v>
      </c>
      <c r="E99" s="8" t="str">
        <f t="shared" si="5"/>
        <v>ui_s1_fight_km_shanbi</v>
      </c>
      <c r="F99" s="8" t="str">
        <f t="shared" si="6"/>
        <v>ui_s1_fight_card1_tu_shan</v>
      </c>
      <c r="G99" s="8" t="str">
        <f t="shared" si="7"/>
        <v/>
      </c>
      <c r="H99" s="8" t="s">
        <v>174</v>
      </c>
      <c r="I99" s="8" t="str">
        <f t="shared" si="8"/>
        <v>AudioNull</v>
      </c>
      <c r="J99" s="8" t="str">
        <f t="shared" si="9"/>
        <v/>
      </c>
      <c r="Q99" s="11" t="s">
        <v>356</v>
      </c>
      <c r="R99" s="11" t="s">
        <v>357</v>
      </c>
      <c r="S99" s="5" t="s">
        <v>358</v>
      </c>
      <c r="U99" s="8" t="s">
        <v>43</v>
      </c>
    </row>
    <row r="100" spans="1:21" x14ac:dyDescent="0.3">
      <c r="A100" s="3">
        <v>1096</v>
      </c>
      <c r="B100" s="5" t="s">
        <v>190</v>
      </c>
      <c r="C100" s="5" t="s">
        <v>31</v>
      </c>
      <c r="D100" s="5" t="s">
        <v>57</v>
      </c>
      <c r="E100" s="8" t="str">
        <f t="shared" si="5"/>
        <v>ui_s1_fight_km_name_lebusishu</v>
      </c>
      <c r="F100" s="8" t="str">
        <f t="shared" si="6"/>
        <v>ui_s1_fight_card1_tu_lbss</v>
      </c>
      <c r="G100" s="8" t="str">
        <f t="shared" si="7"/>
        <v/>
      </c>
      <c r="H100" s="8" t="s">
        <v>338</v>
      </c>
      <c r="I100" s="8" t="str">
        <f t="shared" si="8"/>
        <v>AudioNull</v>
      </c>
      <c r="J100" s="8" t="str">
        <f t="shared" si="9"/>
        <v/>
      </c>
      <c r="Q100" s="11" t="s">
        <v>359</v>
      </c>
      <c r="R100" s="11" t="s">
        <v>360</v>
      </c>
      <c r="S100" s="5" t="s">
        <v>361</v>
      </c>
      <c r="U100" s="8" t="s">
        <v>43</v>
      </c>
    </row>
    <row r="101" spans="1:21" x14ac:dyDescent="0.3">
      <c r="A101" s="3">
        <v>1097</v>
      </c>
      <c r="B101" s="5" t="s">
        <v>171</v>
      </c>
      <c r="C101" s="5" t="s">
        <v>31</v>
      </c>
      <c r="D101" s="5" t="s">
        <v>25</v>
      </c>
      <c r="E101" s="8" t="str">
        <f t="shared" si="5"/>
        <v>ui_s1_fight_km_name_wxkj</v>
      </c>
      <c r="F101" s="8" t="str">
        <f t="shared" si="6"/>
        <v>ui_s1_fight_card1_tu_wxkj</v>
      </c>
      <c r="G101" s="8" t="str">
        <f t="shared" si="7"/>
        <v/>
      </c>
      <c r="H101" s="8" t="s">
        <v>342</v>
      </c>
      <c r="I101" s="8" t="str">
        <f t="shared" si="8"/>
        <v>AudioNull</v>
      </c>
      <c r="J101" s="8" t="str">
        <f t="shared" si="9"/>
        <v/>
      </c>
      <c r="Q101" s="4" t="s">
        <v>362</v>
      </c>
      <c r="R101" s="5" t="s">
        <v>363</v>
      </c>
      <c r="S101" s="5" t="s">
        <v>364</v>
      </c>
      <c r="U101" s="8" t="s">
        <v>43</v>
      </c>
    </row>
    <row r="102" spans="1:21" x14ac:dyDescent="0.3">
      <c r="A102" s="3">
        <v>1098</v>
      </c>
      <c r="B102" s="5" t="s">
        <v>174</v>
      </c>
      <c r="C102" s="5" t="s">
        <v>31</v>
      </c>
      <c r="D102" s="5" t="s">
        <v>28</v>
      </c>
      <c r="E102" s="8" t="str">
        <f t="shared" si="5"/>
        <v>ui_s1_fight_km_shanbi</v>
      </c>
      <c r="F102" s="8" t="str">
        <f t="shared" si="6"/>
        <v>ui_s1_fight_card1_tu_shan</v>
      </c>
      <c r="G102" s="8" t="str">
        <f t="shared" si="7"/>
        <v/>
      </c>
      <c r="H102" s="8" t="s">
        <v>174</v>
      </c>
      <c r="I102" s="8" t="str">
        <f t="shared" si="8"/>
        <v>AudioNull</v>
      </c>
      <c r="J102" s="8" t="str">
        <f t="shared" si="9"/>
        <v/>
      </c>
      <c r="Q102" s="5" t="s">
        <v>365</v>
      </c>
      <c r="R102" s="5" t="s">
        <v>366</v>
      </c>
      <c r="S102" s="5" t="s">
        <v>367</v>
      </c>
      <c r="U102" s="8" t="s">
        <v>43</v>
      </c>
    </row>
    <row r="103" spans="1:21" x14ac:dyDescent="0.3">
      <c r="A103" s="3">
        <v>1099</v>
      </c>
      <c r="B103" s="4" t="s">
        <v>174</v>
      </c>
      <c r="C103" s="5" t="s">
        <v>31</v>
      </c>
      <c r="D103" s="5" t="s">
        <v>31</v>
      </c>
      <c r="E103" s="8" t="str">
        <f t="shared" si="5"/>
        <v>ui_s1_fight_km_shanbi</v>
      </c>
      <c r="F103" s="8" t="str">
        <f t="shared" si="6"/>
        <v>ui_s1_fight_card1_tu_shan</v>
      </c>
      <c r="G103" s="8" t="str">
        <f t="shared" si="7"/>
        <v/>
      </c>
      <c r="H103" s="8" t="s">
        <v>174</v>
      </c>
      <c r="I103" s="8" t="str">
        <f t="shared" si="8"/>
        <v>AudioNull</v>
      </c>
      <c r="J103" s="8" t="str">
        <f t="shared" si="9"/>
        <v/>
      </c>
      <c r="Q103" s="5" t="s">
        <v>368</v>
      </c>
      <c r="R103" s="5" t="s">
        <v>369</v>
      </c>
      <c r="S103" s="5" t="s">
        <v>370</v>
      </c>
      <c r="U103" s="8" t="s">
        <v>43</v>
      </c>
    </row>
    <row r="104" spans="1:21" x14ac:dyDescent="0.3">
      <c r="A104" s="3">
        <v>1100</v>
      </c>
      <c r="B104" s="4" t="s">
        <v>174</v>
      </c>
      <c r="C104" s="5" t="s">
        <v>31</v>
      </c>
      <c r="D104" s="5" t="s">
        <v>33</v>
      </c>
      <c r="E104" s="8" t="str">
        <f t="shared" si="5"/>
        <v>ui_s1_fight_km_shanbi</v>
      </c>
      <c r="F104" s="8" t="str">
        <f t="shared" si="6"/>
        <v>ui_s1_fight_card1_tu_shan</v>
      </c>
      <c r="G104" s="8" t="str">
        <f t="shared" si="7"/>
        <v/>
      </c>
      <c r="H104" s="8" t="s">
        <v>174</v>
      </c>
      <c r="I104" s="8" t="str">
        <f t="shared" si="8"/>
        <v>AudioNull</v>
      </c>
      <c r="J104" s="8" t="str">
        <f t="shared" si="9"/>
        <v/>
      </c>
      <c r="Q104" s="11" t="s">
        <v>371</v>
      </c>
      <c r="R104" s="11" t="s">
        <v>372</v>
      </c>
      <c r="S104" s="11" t="s">
        <v>373</v>
      </c>
      <c r="U104" s="8" t="s">
        <v>43</v>
      </c>
    </row>
    <row r="105" spans="1:21" x14ac:dyDescent="0.3">
      <c r="A105" s="3">
        <v>1101</v>
      </c>
      <c r="B105" s="5" t="s">
        <v>182</v>
      </c>
      <c r="C105" s="5" t="s">
        <v>31</v>
      </c>
      <c r="D105" s="5" t="s">
        <v>39</v>
      </c>
      <c r="E105" s="8" t="str">
        <f t="shared" si="5"/>
        <v>ui_s1_fight_km_name_shunshouqianyang</v>
      </c>
      <c r="F105" s="8" t="str">
        <f t="shared" si="6"/>
        <v>ui_s1_fight_card1_tu_ssqy</v>
      </c>
      <c r="G105" s="8" t="str">
        <f t="shared" si="7"/>
        <v/>
      </c>
      <c r="H105" s="8" t="s">
        <v>327</v>
      </c>
      <c r="I105" s="8" t="str">
        <f t="shared" si="8"/>
        <v>AudioNull</v>
      </c>
      <c r="J105" s="8" t="str">
        <f t="shared" si="9"/>
        <v/>
      </c>
      <c r="Q105" s="4" t="s">
        <v>374</v>
      </c>
      <c r="R105" s="5" t="s">
        <v>375</v>
      </c>
      <c r="S105" s="5" t="s">
        <v>376</v>
      </c>
      <c r="U105" s="8" t="s">
        <v>43</v>
      </c>
    </row>
    <row r="106" spans="1:21" x14ac:dyDescent="0.3">
      <c r="A106" s="3">
        <v>1102</v>
      </c>
      <c r="B106" s="5" t="s">
        <v>186</v>
      </c>
      <c r="C106" s="5" t="s">
        <v>31</v>
      </c>
      <c r="D106" s="5" t="s">
        <v>46</v>
      </c>
      <c r="E106" s="8" t="str">
        <f t="shared" si="5"/>
        <v>ui_s1_fight_km_name_ghcq</v>
      </c>
      <c r="F106" s="8" t="str">
        <f t="shared" si="6"/>
        <v>ui_s1_fight_card1_tu_ghcq</v>
      </c>
      <c r="G106" s="8" t="str">
        <f t="shared" si="7"/>
        <v/>
      </c>
      <c r="H106" s="8" t="s">
        <v>331</v>
      </c>
      <c r="I106" s="8" t="str">
        <f t="shared" si="8"/>
        <v>AudioNull</v>
      </c>
      <c r="J106" s="8" t="str">
        <f t="shared" si="9"/>
        <v/>
      </c>
      <c r="Q106" s="11" t="s">
        <v>377</v>
      </c>
      <c r="R106" s="12" t="s">
        <v>48</v>
      </c>
      <c r="S106" s="8" t="s">
        <v>49</v>
      </c>
      <c r="T106" s="8"/>
      <c r="U106" s="8" t="s">
        <v>43</v>
      </c>
    </row>
    <row r="107" spans="1:21" x14ac:dyDescent="0.3">
      <c r="A107" s="3">
        <v>1103</v>
      </c>
      <c r="B107" s="4" t="s">
        <v>174</v>
      </c>
      <c r="C107" s="5" t="s">
        <v>31</v>
      </c>
      <c r="D107" s="5" t="s">
        <v>51</v>
      </c>
      <c r="E107" s="8" t="str">
        <f t="shared" si="5"/>
        <v>ui_s1_fight_km_shanbi</v>
      </c>
      <c r="F107" s="8" t="str">
        <f t="shared" si="6"/>
        <v>ui_s1_fight_card1_tu_shan</v>
      </c>
      <c r="G107" s="8" t="str">
        <f t="shared" si="7"/>
        <v/>
      </c>
      <c r="H107" s="8" t="s">
        <v>174</v>
      </c>
      <c r="I107" s="8" t="str">
        <f t="shared" si="8"/>
        <v>AudioNull</v>
      </c>
      <c r="J107" s="8" t="str">
        <f t="shared" si="9"/>
        <v/>
      </c>
      <c r="Q107" s="11" t="s">
        <v>378</v>
      </c>
      <c r="R107" s="12" t="s">
        <v>379</v>
      </c>
      <c r="S107" s="8" t="s">
        <v>49</v>
      </c>
      <c r="U107" s="8" t="s">
        <v>43</v>
      </c>
    </row>
    <row r="108" spans="1:21" x14ac:dyDescent="0.3">
      <c r="A108" s="3">
        <v>1104</v>
      </c>
      <c r="B108" s="4" t="s">
        <v>174</v>
      </c>
      <c r="C108" s="5" t="s">
        <v>31</v>
      </c>
      <c r="D108" s="5" t="s">
        <v>57</v>
      </c>
      <c r="E108" s="8" t="str">
        <f t="shared" si="5"/>
        <v>ui_s1_fight_km_shanbi</v>
      </c>
      <c r="F108" s="8" t="str">
        <f t="shared" si="6"/>
        <v>ui_s1_fight_card1_tu_shan</v>
      </c>
      <c r="G108" s="8" t="str">
        <f t="shared" si="7"/>
        <v/>
      </c>
      <c r="H108" s="8" t="s">
        <v>174</v>
      </c>
      <c r="I108" s="8" t="str">
        <f t="shared" si="8"/>
        <v>AudioNull</v>
      </c>
      <c r="J108" s="8" t="str">
        <f t="shared" si="9"/>
        <v/>
      </c>
      <c r="Q108" s="11" t="s">
        <v>380</v>
      </c>
      <c r="R108" s="12" t="s">
        <v>381</v>
      </c>
      <c r="S108" s="8" t="s">
        <v>49</v>
      </c>
      <c r="U108" s="8" t="s">
        <v>43</v>
      </c>
    </row>
    <row r="109" spans="1:21" x14ac:dyDescent="0.3">
      <c r="A109" s="3">
        <v>1105</v>
      </c>
      <c r="B109" s="5" t="s">
        <v>171</v>
      </c>
      <c r="C109" s="5" t="s">
        <v>31</v>
      </c>
      <c r="D109" s="5" t="s">
        <v>25</v>
      </c>
      <c r="E109" s="8" t="str">
        <f t="shared" si="5"/>
        <v>ui_s1_fight_km_name_wxkj</v>
      </c>
      <c r="F109" s="8" t="str">
        <f t="shared" si="6"/>
        <v>ui_s1_fight_card1_tu_wxkj</v>
      </c>
      <c r="G109" s="8" t="str">
        <f t="shared" si="7"/>
        <v/>
      </c>
      <c r="H109" s="8" t="s">
        <v>342</v>
      </c>
      <c r="I109" s="8" t="str">
        <f t="shared" si="8"/>
        <v>AudioNull</v>
      </c>
      <c r="J109" s="8" t="str">
        <f t="shared" si="9"/>
        <v/>
      </c>
      <c r="Q109" s="11" t="s">
        <v>382</v>
      </c>
      <c r="R109" s="12" t="s">
        <v>175</v>
      </c>
      <c r="S109" s="8" t="s">
        <v>176</v>
      </c>
      <c r="U109" s="8" t="s">
        <v>43</v>
      </c>
    </row>
    <row r="110" spans="1:21" x14ac:dyDescent="0.3">
      <c r="A110" s="3">
        <v>1106</v>
      </c>
      <c r="B110" s="5" t="s">
        <v>174</v>
      </c>
      <c r="C110" s="5" t="s">
        <v>31</v>
      </c>
      <c r="D110" s="5" t="s">
        <v>28</v>
      </c>
      <c r="E110" s="8" t="str">
        <f t="shared" si="5"/>
        <v>ui_s1_fight_km_shanbi</v>
      </c>
      <c r="F110" s="8" t="str">
        <f t="shared" si="6"/>
        <v>ui_s1_fight_card1_tu_shan</v>
      </c>
      <c r="G110" s="8" t="str">
        <f t="shared" si="7"/>
        <v/>
      </c>
      <c r="H110" s="8" t="s">
        <v>174</v>
      </c>
      <c r="I110" s="8" t="str">
        <f t="shared" si="8"/>
        <v>AudioNull</v>
      </c>
      <c r="J110" s="8" t="str">
        <f t="shared" si="9"/>
        <v/>
      </c>
      <c r="Q110" s="11" t="s">
        <v>383</v>
      </c>
      <c r="R110" s="12" t="s">
        <v>153</v>
      </c>
      <c r="S110" s="8" t="s">
        <v>154</v>
      </c>
      <c r="U110" s="8" t="s">
        <v>43</v>
      </c>
    </row>
    <row r="111" spans="1:21" x14ac:dyDescent="0.3">
      <c r="A111" s="3">
        <v>1107</v>
      </c>
      <c r="B111" s="4" t="s">
        <v>174</v>
      </c>
      <c r="C111" s="5" t="s">
        <v>31</v>
      </c>
      <c r="D111" s="5" t="s">
        <v>31</v>
      </c>
      <c r="E111" s="8" t="str">
        <f t="shared" si="5"/>
        <v>ui_s1_fight_km_shanbi</v>
      </c>
      <c r="F111" s="8" t="str">
        <f t="shared" si="6"/>
        <v>ui_s1_fight_card1_tu_shan</v>
      </c>
      <c r="G111" s="8" t="str">
        <f t="shared" si="7"/>
        <v/>
      </c>
      <c r="H111" s="8" t="s">
        <v>174</v>
      </c>
      <c r="I111" s="8" t="str">
        <f t="shared" si="8"/>
        <v>AudioNull</v>
      </c>
      <c r="J111" s="8" t="str">
        <f t="shared" si="9"/>
        <v/>
      </c>
      <c r="Q111" s="5"/>
      <c r="R111" s="5"/>
      <c r="S111" s="5"/>
    </row>
    <row r="112" spans="1:21" x14ac:dyDescent="0.3">
      <c r="A112" s="3">
        <v>1108</v>
      </c>
      <c r="B112" s="4" t="s">
        <v>174</v>
      </c>
      <c r="C112" s="5" t="s">
        <v>31</v>
      </c>
      <c r="D112" s="5" t="s">
        <v>33</v>
      </c>
      <c r="E112" s="8" t="str">
        <f t="shared" si="5"/>
        <v>ui_s1_fight_km_shanbi</v>
      </c>
      <c r="F112" s="8" t="str">
        <f t="shared" si="6"/>
        <v>ui_s1_fight_card1_tu_shan</v>
      </c>
      <c r="G112" s="8" t="str">
        <f t="shared" si="7"/>
        <v/>
      </c>
      <c r="H112" s="8" t="s">
        <v>174</v>
      </c>
      <c r="I112" s="8" t="str">
        <f t="shared" si="8"/>
        <v>AudioNull</v>
      </c>
      <c r="J112" s="8" t="str">
        <f t="shared" si="9"/>
        <v/>
      </c>
      <c r="Q112" s="4"/>
      <c r="R112" s="5"/>
      <c r="S112" s="5"/>
    </row>
    <row r="113" spans="1:19" x14ac:dyDescent="0.3">
      <c r="A113" s="3">
        <v>1109</v>
      </c>
      <c r="B113" s="5" t="s">
        <v>182</v>
      </c>
      <c r="C113" s="5" t="s">
        <v>31</v>
      </c>
      <c r="D113" s="5" t="s">
        <v>39</v>
      </c>
      <c r="E113" s="8" t="str">
        <f t="shared" si="5"/>
        <v>ui_s1_fight_km_name_shunshouqianyang</v>
      </c>
      <c r="F113" s="8" t="str">
        <f t="shared" si="6"/>
        <v>ui_s1_fight_card1_tu_ssqy</v>
      </c>
      <c r="G113" s="8" t="str">
        <f t="shared" si="7"/>
        <v/>
      </c>
      <c r="H113" s="8" t="s">
        <v>327</v>
      </c>
      <c r="I113" s="8" t="str">
        <f t="shared" si="8"/>
        <v>AudioNull</v>
      </c>
      <c r="J113" s="8" t="str">
        <f t="shared" si="9"/>
        <v/>
      </c>
      <c r="Q113" s="4"/>
      <c r="R113" s="5"/>
      <c r="S113" s="5"/>
    </row>
    <row r="114" spans="1:19" x14ac:dyDescent="0.3">
      <c r="A114" s="3">
        <v>1110</v>
      </c>
      <c r="B114" s="5" t="s">
        <v>186</v>
      </c>
      <c r="C114" s="5" t="s">
        <v>31</v>
      </c>
      <c r="D114" s="5" t="s">
        <v>46</v>
      </c>
      <c r="E114" s="8" t="str">
        <f t="shared" si="5"/>
        <v>ui_s1_fight_km_name_ghcq</v>
      </c>
      <c r="F114" s="8" t="str">
        <f t="shared" si="6"/>
        <v>ui_s1_fight_card1_tu_ghcq</v>
      </c>
      <c r="G114" s="8" t="str">
        <f t="shared" si="7"/>
        <v/>
      </c>
      <c r="H114" s="8" t="s">
        <v>331</v>
      </c>
      <c r="I114" s="8" t="str">
        <f t="shared" si="8"/>
        <v>AudioNull</v>
      </c>
      <c r="J114" s="8" t="str">
        <f t="shared" si="9"/>
        <v/>
      </c>
      <c r="Q114" s="5"/>
      <c r="R114" s="5"/>
      <c r="S114" s="5"/>
    </row>
    <row r="115" spans="1:19" x14ac:dyDescent="0.3">
      <c r="A115" s="3">
        <v>1111</v>
      </c>
      <c r="B115" s="4" t="s">
        <v>174</v>
      </c>
      <c r="C115" s="5" t="s">
        <v>31</v>
      </c>
      <c r="D115" s="5" t="s">
        <v>51</v>
      </c>
      <c r="E115" s="8" t="str">
        <f t="shared" si="5"/>
        <v>ui_s1_fight_km_shanbi</v>
      </c>
      <c r="F115" s="8" t="str">
        <f t="shared" si="6"/>
        <v>ui_s1_fight_card1_tu_shan</v>
      </c>
      <c r="G115" s="8" t="str">
        <f t="shared" si="7"/>
        <v/>
      </c>
      <c r="H115" s="8" t="s">
        <v>174</v>
      </c>
      <c r="I115" s="8" t="str">
        <f t="shared" si="8"/>
        <v>AudioNull</v>
      </c>
      <c r="J115" s="8" t="str">
        <f t="shared" si="9"/>
        <v/>
      </c>
      <c r="Q115" s="5"/>
      <c r="R115" s="5"/>
      <c r="S115" s="5"/>
    </row>
    <row r="116" spans="1:19" x14ac:dyDescent="0.3">
      <c r="A116" s="3">
        <v>1112</v>
      </c>
      <c r="B116" s="4" t="s">
        <v>174</v>
      </c>
      <c r="C116" s="5" t="s">
        <v>31</v>
      </c>
      <c r="D116" s="5" t="s">
        <v>57</v>
      </c>
      <c r="E116" s="8" t="str">
        <f t="shared" si="5"/>
        <v>ui_s1_fight_km_shanbi</v>
      </c>
      <c r="F116" s="8" t="str">
        <f t="shared" si="6"/>
        <v>ui_s1_fight_card1_tu_shan</v>
      </c>
      <c r="G116" s="8" t="str">
        <f t="shared" si="7"/>
        <v/>
      </c>
      <c r="H116" s="8" t="s">
        <v>174</v>
      </c>
      <c r="I116" s="8" t="str">
        <f t="shared" si="8"/>
        <v>AudioNull</v>
      </c>
      <c r="J116" s="8" t="str">
        <f t="shared" si="9"/>
        <v/>
      </c>
      <c r="Q116" s="4"/>
      <c r="R116" s="5"/>
      <c r="S116" s="5"/>
    </row>
    <row r="117" spans="1:19" x14ac:dyDescent="0.3">
      <c r="A117" s="3">
        <v>1113</v>
      </c>
      <c r="B117" s="5" t="s">
        <v>171</v>
      </c>
      <c r="C117" s="5" t="s">
        <v>31</v>
      </c>
      <c r="D117" s="5" t="s">
        <v>25</v>
      </c>
      <c r="E117" s="8" t="str">
        <f t="shared" si="5"/>
        <v>ui_s1_fight_km_name_wxkj</v>
      </c>
      <c r="F117" s="8" t="str">
        <f t="shared" si="6"/>
        <v>ui_s1_fight_card1_tu_wxkj</v>
      </c>
      <c r="G117" s="8" t="str">
        <f t="shared" si="7"/>
        <v/>
      </c>
      <c r="H117" s="8" t="s">
        <v>342</v>
      </c>
      <c r="I117" s="8" t="str">
        <f t="shared" si="8"/>
        <v>AudioNull</v>
      </c>
      <c r="J117" s="8" t="str">
        <f t="shared" si="9"/>
        <v/>
      </c>
      <c r="Q117" s="4"/>
      <c r="R117" s="5"/>
      <c r="S117" s="5"/>
    </row>
    <row r="118" spans="1:19" x14ac:dyDescent="0.3">
      <c r="A118" s="3">
        <v>1114</v>
      </c>
      <c r="B118" s="5" t="s">
        <v>174</v>
      </c>
      <c r="C118" s="5" t="s">
        <v>31</v>
      </c>
      <c r="D118" s="5" t="s">
        <v>28</v>
      </c>
      <c r="E118" s="8" t="str">
        <f t="shared" si="5"/>
        <v>ui_s1_fight_km_shanbi</v>
      </c>
      <c r="F118" s="8" t="str">
        <f t="shared" si="6"/>
        <v>ui_s1_fight_card1_tu_shan</v>
      </c>
      <c r="G118" s="8" t="str">
        <f t="shared" si="7"/>
        <v/>
      </c>
      <c r="H118" s="8" t="s">
        <v>174</v>
      </c>
      <c r="I118" s="8" t="str">
        <f t="shared" si="8"/>
        <v>AudioNull</v>
      </c>
      <c r="J118" s="8" t="str">
        <f t="shared" si="9"/>
        <v/>
      </c>
      <c r="Q118" s="5"/>
      <c r="R118" s="5"/>
      <c r="S118" s="5"/>
    </row>
    <row r="119" spans="1:19" x14ac:dyDescent="0.3">
      <c r="A119" s="3">
        <v>1115</v>
      </c>
      <c r="B119" s="4" t="s">
        <v>174</v>
      </c>
      <c r="C119" s="5" t="s">
        <v>31</v>
      </c>
      <c r="D119" s="5" t="s">
        <v>31</v>
      </c>
      <c r="E119" s="8" t="str">
        <f t="shared" si="5"/>
        <v>ui_s1_fight_km_shanbi</v>
      </c>
      <c r="F119" s="8" t="str">
        <f t="shared" si="6"/>
        <v>ui_s1_fight_card1_tu_shan</v>
      </c>
      <c r="G119" s="8" t="str">
        <f t="shared" si="7"/>
        <v/>
      </c>
      <c r="H119" s="8" t="s">
        <v>174</v>
      </c>
      <c r="I119" s="8" t="str">
        <f t="shared" si="8"/>
        <v>AudioNull</v>
      </c>
      <c r="J119" s="8" t="str">
        <f t="shared" si="9"/>
        <v/>
      </c>
      <c r="Q119" s="5"/>
      <c r="R119" s="5"/>
      <c r="S119" s="5"/>
    </row>
    <row r="120" spans="1:19" x14ac:dyDescent="0.3">
      <c r="A120" s="3">
        <v>1116</v>
      </c>
      <c r="B120" s="4" t="s">
        <v>174</v>
      </c>
      <c r="C120" s="5" t="s">
        <v>31</v>
      </c>
      <c r="D120" s="5" t="s">
        <v>33</v>
      </c>
      <c r="E120" s="8" t="str">
        <f t="shared" si="5"/>
        <v>ui_s1_fight_km_shanbi</v>
      </c>
      <c r="F120" s="8" t="str">
        <f t="shared" si="6"/>
        <v>ui_s1_fight_card1_tu_shan</v>
      </c>
      <c r="G120" s="8" t="str">
        <f t="shared" si="7"/>
        <v/>
      </c>
      <c r="H120" s="8" t="s">
        <v>174</v>
      </c>
      <c r="I120" s="8" t="str">
        <f t="shared" si="8"/>
        <v>AudioNull</v>
      </c>
      <c r="J120" s="8" t="str">
        <f t="shared" si="9"/>
        <v/>
      </c>
      <c r="Q120" s="4"/>
      <c r="R120" s="5"/>
      <c r="S120" s="5"/>
    </row>
    <row r="121" spans="1:19" x14ac:dyDescent="0.3">
      <c r="A121" s="3">
        <v>1117</v>
      </c>
      <c r="B121" s="5" t="s">
        <v>182</v>
      </c>
      <c r="C121" s="5" t="s">
        <v>31</v>
      </c>
      <c r="D121" s="5" t="s">
        <v>39</v>
      </c>
      <c r="E121" s="8" t="str">
        <f t="shared" si="5"/>
        <v>ui_s1_fight_km_name_shunshouqianyang</v>
      </c>
      <c r="F121" s="8" t="str">
        <f t="shared" si="6"/>
        <v>ui_s1_fight_card1_tu_ssqy</v>
      </c>
      <c r="G121" s="8" t="str">
        <f t="shared" si="7"/>
        <v/>
      </c>
      <c r="H121" s="8" t="s">
        <v>327</v>
      </c>
      <c r="I121" s="8" t="str">
        <f t="shared" si="8"/>
        <v>AudioNull</v>
      </c>
      <c r="J121" s="8" t="str">
        <f t="shared" si="9"/>
        <v/>
      </c>
      <c r="Q121" s="4"/>
      <c r="R121" s="5"/>
      <c r="S121" s="5"/>
    </row>
    <row r="122" spans="1:19" x14ac:dyDescent="0.3">
      <c r="A122" s="3">
        <v>1118</v>
      </c>
      <c r="B122" s="5" t="s">
        <v>186</v>
      </c>
      <c r="C122" s="5" t="s">
        <v>31</v>
      </c>
      <c r="D122" s="5" t="s">
        <v>46</v>
      </c>
      <c r="E122" s="8" t="str">
        <f t="shared" si="5"/>
        <v>ui_s1_fight_km_name_ghcq</v>
      </c>
      <c r="F122" s="8" t="str">
        <f t="shared" si="6"/>
        <v>ui_s1_fight_card1_tu_ghcq</v>
      </c>
      <c r="G122" s="8" t="str">
        <f t="shared" si="7"/>
        <v/>
      </c>
      <c r="H122" s="8" t="s">
        <v>331</v>
      </c>
      <c r="I122" s="8" t="str">
        <f t="shared" si="8"/>
        <v>AudioNull</v>
      </c>
      <c r="J122" s="8" t="str">
        <f t="shared" si="9"/>
        <v/>
      </c>
      <c r="Q122" s="4"/>
      <c r="R122" s="5"/>
      <c r="S122" s="5"/>
    </row>
    <row r="123" spans="1:19" x14ac:dyDescent="0.3">
      <c r="A123" s="3">
        <v>1119</v>
      </c>
      <c r="B123" s="4" t="s">
        <v>174</v>
      </c>
      <c r="C123" s="5" t="s">
        <v>31</v>
      </c>
      <c r="D123" s="5" t="s">
        <v>51</v>
      </c>
      <c r="E123" s="8" t="str">
        <f t="shared" si="5"/>
        <v>ui_s1_fight_km_shanbi</v>
      </c>
      <c r="F123" s="8" t="str">
        <f t="shared" si="6"/>
        <v>ui_s1_fight_card1_tu_shan</v>
      </c>
      <c r="G123" s="8" t="str">
        <f t="shared" si="7"/>
        <v/>
      </c>
      <c r="H123" s="8" t="s">
        <v>174</v>
      </c>
      <c r="I123" s="8" t="str">
        <f t="shared" si="8"/>
        <v>AudioNull</v>
      </c>
      <c r="J123" s="8" t="str">
        <f t="shared" si="9"/>
        <v/>
      </c>
      <c r="Q123" s="5"/>
      <c r="R123" s="5"/>
      <c r="S123" s="5"/>
    </row>
    <row r="124" spans="1:19" x14ac:dyDescent="0.3">
      <c r="A124" s="3">
        <v>1120</v>
      </c>
      <c r="B124" s="5" t="s">
        <v>128</v>
      </c>
      <c r="C124" s="5" t="s">
        <v>31</v>
      </c>
      <c r="D124" s="5" t="s">
        <v>57</v>
      </c>
      <c r="E124" s="8" t="str">
        <f t="shared" si="5"/>
        <v>ui_s1_fight_km_name_yjp</v>
      </c>
      <c r="F124" s="8" t="str">
        <f t="shared" si="6"/>
        <v>ui_s1_fight_card1_tu_yunjinpao</v>
      </c>
      <c r="G124" s="8" t="str">
        <f t="shared" si="7"/>
        <v/>
      </c>
      <c r="H124" s="8" t="s">
        <v>384</v>
      </c>
      <c r="I124" s="8" t="str">
        <f t="shared" si="8"/>
        <v>AudioNull</v>
      </c>
      <c r="J124" s="8" t="str">
        <f t="shared" si="9"/>
        <v>ui_s1_fight_zhuangbei_014_yunjinpao</v>
      </c>
      <c r="Q124" s="4"/>
      <c r="R124" s="5"/>
      <c r="S124" s="5"/>
    </row>
    <row r="125" spans="1:19" x14ac:dyDescent="0.3">
      <c r="A125" s="3">
        <v>1121</v>
      </c>
      <c r="B125" s="4" t="s">
        <v>193</v>
      </c>
      <c r="C125" s="5" t="s">
        <v>33</v>
      </c>
      <c r="D125" s="5" t="s">
        <v>25</v>
      </c>
      <c r="E125" s="8" t="str">
        <f t="shared" si="5"/>
        <v>ui_s1_fight_km_name_fyk</v>
      </c>
      <c r="F125" s="8" t="str">
        <f t="shared" si="6"/>
        <v>ui_s1_fight_card1_tu_fengyukui</v>
      </c>
      <c r="G125" s="8" t="str">
        <f t="shared" si="7"/>
        <v/>
      </c>
      <c r="H125" s="8" t="s">
        <v>385</v>
      </c>
      <c r="I125" s="8" t="str">
        <f t="shared" si="8"/>
        <v>AudioNull</v>
      </c>
      <c r="J125" s="8" t="str">
        <f t="shared" si="9"/>
        <v>ui_s1_fight_zhuangbei_017_fengyukui</v>
      </c>
      <c r="Q125" s="5"/>
      <c r="R125" s="5"/>
      <c r="S125" s="5"/>
    </row>
    <row r="126" spans="1:19" x14ac:dyDescent="0.3">
      <c r="A126" s="3">
        <v>1122</v>
      </c>
      <c r="B126" s="5" t="s">
        <v>378</v>
      </c>
      <c r="C126" s="5" t="s">
        <v>33</v>
      </c>
      <c r="D126" s="5" t="s">
        <v>28</v>
      </c>
      <c r="E126" s="8" t="s">
        <v>379</v>
      </c>
      <c r="F126" s="8" t="s">
        <v>49</v>
      </c>
      <c r="G126" s="8"/>
      <c r="H126" s="8" t="s">
        <v>30</v>
      </c>
      <c r="I126" s="8" t="s">
        <v>43</v>
      </c>
      <c r="J126" s="8"/>
      <c r="Q126" s="5"/>
      <c r="R126" s="5"/>
      <c r="S126" s="5"/>
    </row>
    <row r="127" spans="1:19" x14ac:dyDescent="0.3">
      <c r="A127" s="3">
        <v>1123</v>
      </c>
      <c r="B127" s="4" t="s">
        <v>200</v>
      </c>
      <c r="C127" s="5" t="s">
        <v>33</v>
      </c>
      <c r="D127" s="5" t="s">
        <v>31</v>
      </c>
      <c r="E127" s="8" t="str">
        <f t="shared" si="5"/>
        <v>ui_s1_fight_km_name_liehuofencheng</v>
      </c>
      <c r="F127" s="8" t="str">
        <f t="shared" si="6"/>
        <v>ui_s1_fight_card1_tu_lhfc</v>
      </c>
      <c r="G127" s="8" t="str">
        <f t="shared" si="7"/>
        <v/>
      </c>
      <c r="H127" s="8" t="s">
        <v>386</v>
      </c>
      <c r="I127" s="8" t="str">
        <f t="shared" si="8"/>
        <v>AudioNull</v>
      </c>
      <c r="J127" s="8" t="str">
        <f t="shared" si="9"/>
        <v/>
      </c>
      <c r="Q127" s="5"/>
      <c r="R127" s="5"/>
      <c r="S127" s="5"/>
    </row>
    <row r="128" spans="1:19" x14ac:dyDescent="0.3">
      <c r="A128" s="3">
        <v>1124</v>
      </c>
      <c r="B128" s="5" t="s">
        <v>378</v>
      </c>
      <c r="C128" s="5" t="s">
        <v>33</v>
      </c>
      <c r="D128" s="5" t="s">
        <v>33</v>
      </c>
      <c r="E128" s="8" t="s">
        <v>379</v>
      </c>
      <c r="F128" s="8" t="s">
        <v>49</v>
      </c>
      <c r="G128" s="8"/>
      <c r="H128" s="8" t="s">
        <v>30</v>
      </c>
      <c r="I128" s="8" t="s">
        <v>43</v>
      </c>
      <c r="J128" s="8"/>
      <c r="Q128" s="5"/>
      <c r="R128" s="5"/>
      <c r="S128" s="5"/>
    </row>
    <row r="129" spans="1:19" x14ac:dyDescent="0.3">
      <c r="A129" s="3">
        <v>1125</v>
      </c>
      <c r="B129" s="5" t="s">
        <v>207</v>
      </c>
      <c r="C129" s="5" t="s">
        <v>33</v>
      </c>
      <c r="D129" s="5" t="s">
        <v>39</v>
      </c>
      <c r="E129" s="8" t="str">
        <f t="shared" si="5"/>
        <v>ui_s1_fight_km_name_fhly</v>
      </c>
      <c r="F129" s="8" t="str">
        <f t="shared" si="6"/>
        <v>ui_s1_fight_card1_tu_fhxzh</v>
      </c>
      <c r="G129" s="8" t="str">
        <f t="shared" si="7"/>
        <v/>
      </c>
      <c r="H129" s="8" t="s">
        <v>387</v>
      </c>
      <c r="I129" s="8" t="str">
        <f t="shared" si="8"/>
        <v>AudioNull</v>
      </c>
      <c r="J129" s="8" t="str">
        <f t="shared" si="9"/>
        <v/>
      </c>
      <c r="Q129" s="4"/>
      <c r="R129" s="5"/>
      <c r="S129" s="5"/>
    </row>
    <row r="130" spans="1:19" x14ac:dyDescent="0.3">
      <c r="A130" s="3">
        <v>1126</v>
      </c>
      <c r="B130" s="5" t="s">
        <v>378</v>
      </c>
      <c r="C130" s="5" t="s">
        <v>33</v>
      </c>
      <c r="D130" s="5" t="s">
        <v>46</v>
      </c>
      <c r="E130" s="8" t="s">
        <v>379</v>
      </c>
      <c r="F130" s="8" t="s">
        <v>49</v>
      </c>
      <c r="G130" s="8"/>
      <c r="H130" s="8" t="s">
        <v>30</v>
      </c>
      <c r="I130" s="8" t="s">
        <v>43</v>
      </c>
      <c r="J130" s="8"/>
      <c r="Q130" s="5"/>
      <c r="R130" s="5"/>
      <c r="S130" s="5"/>
    </row>
    <row r="131" spans="1:19" x14ac:dyDescent="0.3">
      <c r="A131" s="3">
        <v>1127</v>
      </c>
      <c r="B131" s="5" t="s">
        <v>378</v>
      </c>
      <c r="C131" s="5" t="s">
        <v>33</v>
      </c>
      <c r="D131" s="5" t="s">
        <v>51</v>
      </c>
      <c r="E131" s="8" t="s">
        <v>379</v>
      </c>
      <c r="F131" s="8" t="s">
        <v>49</v>
      </c>
      <c r="G131" s="8"/>
      <c r="H131" s="8" t="s">
        <v>30</v>
      </c>
      <c r="I131" s="8" t="s">
        <v>43</v>
      </c>
      <c r="J131" s="8"/>
      <c r="Q131" s="5"/>
      <c r="R131" s="5"/>
      <c r="S131" s="5"/>
    </row>
    <row r="132" spans="1:19" x14ac:dyDescent="0.3">
      <c r="A132" s="3">
        <v>1128</v>
      </c>
      <c r="B132" s="5" t="s">
        <v>378</v>
      </c>
      <c r="C132" s="5" t="s">
        <v>33</v>
      </c>
      <c r="D132" s="5" t="s">
        <v>57</v>
      </c>
      <c r="E132" s="8" t="s">
        <v>379</v>
      </c>
      <c r="F132" s="8" t="s">
        <v>49</v>
      </c>
      <c r="G132" s="8"/>
      <c r="H132" s="8" t="s">
        <v>30</v>
      </c>
      <c r="I132" s="8" t="s">
        <v>43</v>
      </c>
      <c r="J132" s="8"/>
      <c r="Q132" s="4"/>
      <c r="R132" s="5"/>
      <c r="S132" s="5"/>
    </row>
    <row r="133" spans="1:19" x14ac:dyDescent="0.3">
      <c r="A133" s="3">
        <v>1129</v>
      </c>
      <c r="B133" s="5" t="s">
        <v>378</v>
      </c>
      <c r="C133" s="5" t="s">
        <v>33</v>
      </c>
      <c r="D133" s="5" t="s">
        <v>25</v>
      </c>
      <c r="E133" s="8" t="s">
        <v>379</v>
      </c>
      <c r="F133" s="8" t="s">
        <v>49</v>
      </c>
      <c r="G133" s="8"/>
      <c r="H133" s="8" t="s">
        <v>30</v>
      </c>
      <c r="I133" s="8" t="s">
        <v>43</v>
      </c>
      <c r="J133" s="8"/>
      <c r="Q133" s="5"/>
      <c r="R133" s="5"/>
      <c r="S133" s="5"/>
    </row>
    <row r="134" spans="1:19" x14ac:dyDescent="0.3">
      <c r="A134" s="3">
        <v>1130</v>
      </c>
      <c r="B134" s="5" t="s">
        <v>378</v>
      </c>
      <c r="C134" s="5" t="s">
        <v>33</v>
      </c>
      <c r="D134" s="5" t="s">
        <v>28</v>
      </c>
      <c r="E134" s="8" t="s">
        <v>379</v>
      </c>
      <c r="F134" s="8" t="s">
        <v>49</v>
      </c>
      <c r="G134" s="8"/>
      <c r="H134" s="8" t="s">
        <v>30</v>
      </c>
      <c r="I134" s="8" t="s">
        <v>43</v>
      </c>
      <c r="J134" s="8"/>
      <c r="Q134" s="5"/>
      <c r="R134" s="5"/>
      <c r="S134" s="5"/>
    </row>
    <row r="135" spans="1:19" x14ac:dyDescent="0.3">
      <c r="A135" s="3">
        <v>1131</v>
      </c>
      <c r="B135" s="4" t="s">
        <v>200</v>
      </c>
      <c r="C135" s="5" t="s">
        <v>33</v>
      </c>
      <c r="D135" s="5" t="s">
        <v>31</v>
      </c>
      <c r="E135" s="8" t="str">
        <f t="shared" ref="E135:E176" si="10">IF(INDEX(R$8:R$67,MATCH($B135,$Q$8:$Q$67,0))=0,"",INDEX(R$8:R$67,MATCH($B135,$Q$8:$Q$67,0)))</f>
        <v>ui_s1_fight_km_name_liehuofencheng</v>
      </c>
      <c r="F135" s="8" t="str">
        <f t="shared" ref="F135:F176" si="11">IF(INDEX(S$8:S$67,MATCH($B135,$Q$8:$Q$67,0))=0,"",INDEX(S$8:S$67,MATCH($B135,$Q$8:$Q$67,0)))</f>
        <v>ui_s1_fight_card1_tu_lhfc</v>
      </c>
      <c r="G135" s="8" t="str">
        <f t="shared" ref="G135:G176" si="12">IF(INDEX(T$8:T$67,MATCH($B135,$Q$8:$Q$67,0))=0,"",INDEX(T$8:T$67,MATCH($B135,$Q$8:$Q$67,0)))</f>
        <v/>
      </c>
      <c r="H135" s="8" t="s">
        <v>386</v>
      </c>
      <c r="I135" s="8" t="str">
        <f t="shared" ref="I135:I176" si="13">IF(INDEX(U$8:U$67,MATCH($B135,$Q$8:$Q$67,0))=0,"",INDEX(U$8:U$67,MATCH($B135,$Q$8:$Q$67,0)))</f>
        <v>AudioNull</v>
      </c>
      <c r="J135" s="8" t="str">
        <f t="shared" ref="J135:J176" si="14">IF(INDEX(V$8:V$67,MATCH($B135,$Q$8:$Q$67,0))=0,"",INDEX(V$8:V$67,MATCH($B135,$Q$8:$Q$67,0)))</f>
        <v/>
      </c>
      <c r="Q135" s="5"/>
      <c r="R135" s="5"/>
      <c r="S135" s="5"/>
    </row>
    <row r="136" spans="1:19" x14ac:dyDescent="0.3">
      <c r="A136" s="3">
        <v>1132</v>
      </c>
      <c r="B136" s="5" t="s">
        <v>378</v>
      </c>
      <c r="C136" s="5" t="s">
        <v>33</v>
      </c>
      <c r="D136" s="5" t="s">
        <v>33</v>
      </c>
      <c r="E136" s="8" t="s">
        <v>379</v>
      </c>
      <c r="F136" s="8" t="s">
        <v>49</v>
      </c>
      <c r="G136" s="8"/>
      <c r="H136" s="8" t="s">
        <v>30</v>
      </c>
      <c r="I136" s="8" t="s">
        <v>43</v>
      </c>
      <c r="J136" s="8"/>
      <c r="Q136" s="5"/>
      <c r="R136" s="5"/>
      <c r="S136" s="5"/>
    </row>
    <row r="137" spans="1:19" x14ac:dyDescent="0.3">
      <c r="A137" s="3">
        <v>1133</v>
      </c>
      <c r="B137" s="5" t="s">
        <v>207</v>
      </c>
      <c r="C137" s="5" t="s">
        <v>33</v>
      </c>
      <c r="D137" s="5" t="s">
        <v>39</v>
      </c>
      <c r="E137" s="8" t="str">
        <f t="shared" si="10"/>
        <v>ui_s1_fight_km_name_fhly</v>
      </c>
      <c r="F137" s="8" t="str">
        <f t="shared" si="11"/>
        <v>ui_s1_fight_card1_tu_fhxzh</v>
      </c>
      <c r="G137" s="8" t="str">
        <f t="shared" si="12"/>
        <v/>
      </c>
      <c r="H137" s="8" t="s">
        <v>387</v>
      </c>
      <c r="I137" s="8" t="str">
        <f t="shared" si="13"/>
        <v>AudioNull</v>
      </c>
      <c r="J137" s="8" t="str">
        <f t="shared" si="14"/>
        <v/>
      </c>
      <c r="Q137" s="4"/>
      <c r="R137" s="5"/>
      <c r="S137" s="5"/>
    </row>
    <row r="138" spans="1:19" x14ac:dyDescent="0.3">
      <c r="A138" s="3">
        <v>1134</v>
      </c>
      <c r="B138" s="5" t="s">
        <v>144</v>
      </c>
      <c r="C138" s="5" t="s">
        <v>33</v>
      </c>
      <c r="D138" s="5" t="s">
        <v>46</v>
      </c>
      <c r="E138" s="8" t="str">
        <f t="shared" si="10"/>
        <v>ui_s1_fight_km_name_xuanwudun</v>
      </c>
      <c r="F138" s="8" t="str">
        <f t="shared" si="11"/>
        <v>ui_s1_fight_card1_tu_xuanwudun</v>
      </c>
      <c r="G138" s="8" t="str">
        <f t="shared" si="12"/>
        <v/>
      </c>
      <c r="H138" s="8" t="s">
        <v>388</v>
      </c>
      <c r="I138" s="8" t="str">
        <f t="shared" si="13"/>
        <v>AudioNull</v>
      </c>
      <c r="J138" s="8" t="str">
        <f t="shared" si="14"/>
        <v>ui_s1_fight_zhuangbei_016_xuanwudun</v>
      </c>
      <c r="Q138" s="5"/>
      <c r="R138" s="5"/>
      <c r="S138" s="5"/>
    </row>
    <row r="139" spans="1:19" x14ac:dyDescent="0.3">
      <c r="A139" s="3">
        <v>1135</v>
      </c>
      <c r="B139" s="5" t="s">
        <v>378</v>
      </c>
      <c r="C139" s="5" t="s">
        <v>33</v>
      </c>
      <c r="D139" s="5" t="s">
        <v>51</v>
      </c>
      <c r="E139" s="8" t="s">
        <v>379</v>
      </c>
      <c r="F139" s="8" t="s">
        <v>49</v>
      </c>
      <c r="G139" s="8"/>
      <c r="H139" s="8" t="s">
        <v>30</v>
      </c>
      <c r="I139" s="8" t="s">
        <v>43</v>
      </c>
      <c r="J139" s="8"/>
      <c r="Q139" s="5"/>
      <c r="R139" s="5"/>
      <c r="S139" s="5"/>
    </row>
    <row r="140" spans="1:19" x14ac:dyDescent="0.3">
      <c r="A140" s="3">
        <v>1136</v>
      </c>
      <c r="B140" s="5" t="s">
        <v>378</v>
      </c>
      <c r="C140" s="5" t="s">
        <v>33</v>
      </c>
      <c r="D140" s="5" t="s">
        <v>57</v>
      </c>
      <c r="E140" s="8" t="s">
        <v>379</v>
      </c>
      <c r="F140" s="8" t="s">
        <v>49</v>
      </c>
      <c r="G140" s="8"/>
      <c r="H140" s="8" t="s">
        <v>30</v>
      </c>
      <c r="I140" s="8" t="s">
        <v>43</v>
      </c>
      <c r="J140" s="8"/>
      <c r="Q140" s="4"/>
      <c r="R140" s="5"/>
      <c r="S140" s="5"/>
    </row>
    <row r="141" spans="1:19" x14ac:dyDescent="0.3">
      <c r="A141" s="3">
        <v>1137</v>
      </c>
      <c r="B141" s="5" t="s">
        <v>378</v>
      </c>
      <c r="C141" s="5" t="s">
        <v>33</v>
      </c>
      <c r="D141" s="5" t="s">
        <v>25</v>
      </c>
      <c r="E141" s="8" t="s">
        <v>379</v>
      </c>
      <c r="F141" s="8" t="s">
        <v>49</v>
      </c>
      <c r="G141" s="8"/>
      <c r="H141" s="8" t="s">
        <v>30</v>
      </c>
      <c r="I141" s="8" t="s">
        <v>43</v>
      </c>
      <c r="J141" s="8"/>
      <c r="Q141" s="5"/>
      <c r="R141" s="5"/>
      <c r="S141" s="5"/>
    </row>
    <row r="142" spans="1:19" x14ac:dyDescent="0.3">
      <c r="A142" s="3">
        <v>1138</v>
      </c>
      <c r="B142" s="5" t="s">
        <v>378</v>
      </c>
      <c r="C142" s="5" t="s">
        <v>33</v>
      </c>
      <c r="D142" s="5" t="s">
        <v>28</v>
      </c>
      <c r="E142" s="8" t="s">
        <v>379</v>
      </c>
      <c r="F142" s="8" t="s">
        <v>49</v>
      </c>
      <c r="G142" s="8"/>
      <c r="H142" s="8" t="s">
        <v>30</v>
      </c>
      <c r="I142" s="8" t="s">
        <v>43</v>
      </c>
      <c r="J142" s="8"/>
      <c r="Q142" s="5"/>
      <c r="R142" s="5"/>
      <c r="S142" s="5"/>
    </row>
    <row r="143" spans="1:19" x14ac:dyDescent="0.3">
      <c r="A143" s="3">
        <v>1139</v>
      </c>
      <c r="B143" s="4" t="s">
        <v>200</v>
      </c>
      <c r="C143" s="5" t="s">
        <v>33</v>
      </c>
      <c r="D143" s="5" t="s">
        <v>31</v>
      </c>
      <c r="E143" s="8" t="str">
        <f t="shared" si="10"/>
        <v>ui_s1_fight_km_name_liehuofencheng</v>
      </c>
      <c r="F143" s="8" t="str">
        <f t="shared" si="11"/>
        <v>ui_s1_fight_card1_tu_lhfc</v>
      </c>
      <c r="G143" s="8" t="str">
        <f t="shared" si="12"/>
        <v/>
      </c>
      <c r="H143" s="8" t="s">
        <v>386</v>
      </c>
      <c r="I143" s="8" t="str">
        <f t="shared" si="13"/>
        <v>AudioNull</v>
      </c>
      <c r="J143" s="8" t="str">
        <f t="shared" si="14"/>
        <v/>
      </c>
      <c r="Q143" s="5"/>
      <c r="R143" s="5"/>
      <c r="S143" s="5"/>
    </row>
    <row r="144" spans="1:19" x14ac:dyDescent="0.3">
      <c r="A144" s="3">
        <v>1140</v>
      </c>
      <c r="B144" s="5" t="s">
        <v>378</v>
      </c>
      <c r="C144" s="5" t="s">
        <v>33</v>
      </c>
      <c r="D144" s="5" t="s">
        <v>33</v>
      </c>
      <c r="E144" s="8" t="s">
        <v>379</v>
      </c>
      <c r="F144" s="8" t="s">
        <v>49</v>
      </c>
      <c r="G144" s="8"/>
      <c r="H144" s="8" t="s">
        <v>30</v>
      </c>
      <c r="I144" s="8" t="s">
        <v>43</v>
      </c>
      <c r="J144" s="8"/>
      <c r="Q144" s="5"/>
      <c r="R144" s="5"/>
      <c r="S144" s="5"/>
    </row>
    <row r="145" spans="1:19" x14ac:dyDescent="0.3">
      <c r="A145" s="3">
        <v>1141</v>
      </c>
      <c r="B145" s="5" t="s">
        <v>207</v>
      </c>
      <c r="C145" s="5" t="s">
        <v>33</v>
      </c>
      <c r="D145" s="5" t="s">
        <v>39</v>
      </c>
      <c r="E145" s="8" t="str">
        <f t="shared" si="10"/>
        <v>ui_s1_fight_km_name_fhly</v>
      </c>
      <c r="F145" s="8" t="str">
        <f t="shared" si="11"/>
        <v>ui_s1_fight_card1_tu_fhxzh</v>
      </c>
      <c r="G145" s="8" t="str">
        <f t="shared" si="12"/>
        <v/>
      </c>
      <c r="H145" s="8" t="s">
        <v>387</v>
      </c>
      <c r="I145" s="8" t="str">
        <f t="shared" si="13"/>
        <v>AudioNull</v>
      </c>
      <c r="J145" s="8" t="str">
        <f t="shared" si="14"/>
        <v/>
      </c>
      <c r="Q145" s="5"/>
      <c r="R145" s="5"/>
      <c r="S145" s="5"/>
    </row>
    <row r="146" spans="1:19" x14ac:dyDescent="0.3">
      <c r="A146" s="3">
        <v>1142</v>
      </c>
      <c r="B146" s="5" t="s">
        <v>378</v>
      </c>
      <c r="C146" s="5" t="s">
        <v>33</v>
      </c>
      <c r="D146" s="5" t="s">
        <v>46</v>
      </c>
      <c r="E146" s="8" t="s">
        <v>379</v>
      </c>
      <c r="F146" s="8" t="s">
        <v>49</v>
      </c>
      <c r="G146" s="8"/>
      <c r="H146" s="8" t="s">
        <v>30</v>
      </c>
      <c r="I146" s="8" t="s">
        <v>43</v>
      </c>
      <c r="J146" s="8"/>
      <c r="Q146" s="5"/>
      <c r="R146" s="5"/>
      <c r="S146" s="5"/>
    </row>
    <row r="147" spans="1:19" x14ac:dyDescent="0.3">
      <c r="A147" s="3">
        <v>1143</v>
      </c>
      <c r="B147" s="5" t="s">
        <v>378</v>
      </c>
      <c r="C147" s="5" t="s">
        <v>33</v>
      </c>
      <c r="D147" s="5" t="s">
        <v>51</v>
      </c>
      <c r="E147" s="8" t="s">
        <v>379</v>
      </c>
      <c r="F147" s="8" t="s">
        <v>49</v>
      </c>
      <c r="G147" s="8"/>
      <c r="H147" s="8" t="s">
        <v>30</v>
      </c>
      <c r="I147" s="8" t="s">
        <v>43</v>
      </c>
      <c r="J147" s="8"/>
      <c r="Q147" s="5"/>
      <c r="R147" s="5"/>
      <c r="S147" s="5"/>
    </row>
    <row r="148" spans="1:19" x14ac:dyDescent="0.3">
      <c r="A148" s="3">
        <v>1144</v>
      </c>
      <c r="B148" s="5" t="s">
        <v>214</v>
      </c>
      <c r="C148" s="5" t="s">
        <v>33</v>
      </c>
      <c r="D148" s="5" t="s">
        <v>57</v>
      </c>
      <c r="E148" s="8" t="str">
        <f t="shared" si="10"/>
        <v>ui_s1_fight_km_name_dihuo</v>
      </c>
      <c r="F148" s="8" t="str">
        <f t="shared" si="11"/>
        <v>ui_s1_fight_card1_tu_dihuo</v>
      </c>
      <c r="G148" s="8" t="str">
        <f t="shared" si="12"/>
        <v/>
      </c>
      <c r="H148" s="8" t="s">
        <v>389</v>
      </c>
      <c r="I148" s="8" t="str">
        <f t="shared" si="13"/>
        <v>AudioNull</v>
      </c>
      <c r="J148" s="8" t="str">
        <f t="shared" si="14"/>
        <v/>
      </c>
      <c r="Q148" s="4"/>
      <c r="R148" s="5"/>
      <c r="S148" s="5"/>
    </row>
    <row r="149" spans="1:19" x14ac:dyDescent="0.3">
      <c r="A149" s="3">
        <v>1145</v>
      </c>
      <c r="B149" s="5" t="s">
        <v>88</v>
      </c>
      <c r="C149" s="5" t="s">
        <v>33</v>
      </c>
      <c r="D149" s="5" t="s">
        <v>25</v>
      </c>
      <c r="E149" s="8" t="str">
        <f t="shared" si="10"/>
        <v>ui_s1_fight_km_name_bgd</v>
      </c>
      <c r="F149" s="8" t="str">
        <f t="shared" si="11"/>
        <v>ui_s1_fight_card1_tu_baguadun</v>
      </c>
      <c r="G149" s="8" t="str">
        <f t="shared" si="12"/>
        <v/>
      </c>
      <c r="H149" s="8" t="s">
        <v>390</v>
      </c>
      <c r="I149" s="8" t="str">
        <f t="shared" si="13"/>
        <v>AudioNull</v>
      </c>
      <c r="J149" s="8" t="str">
        <f t="shared" si="14"/>
        <v>ui_s1_fight_zhuangbei_015_baguadun</v>
      </c>
      <c r="Q149" s="5"/>
      <c r="R149" s="5"/>
      <c r="S149" s="5"/>
    </row>
    <row r="150" spans="1:19" x14ac:dyDescent="0.3">
      <c r="A150" s="3">
        <v>1146</v>
      </c>
      <c r="B150" s="5" t="s">
        <v>378</v>
      </c>
      <c r="C150" s="5" t="s">
        <v>33</v>
      </c>
      <c r="D150" s="5" t="s">
        <v>28</v>
      </c>
      <c r="E150" s="8" t="s">
        <v>379</v>
      </c>
      <c r="F150" s="8" t="s">
        <v>49</v>
      </c>
      <c r="G150" s="8"/>
      <c r="H150" s="8" t="s">
        <v>30</v>
      </c>
      <c r="I150" s="8" t="s">
        <v>43</v>
      </c>
      <c r="J150" s="8"/>
      <c r="Q150" s="5"/>
      <c r="R150" s="5"/>
      <c r="S150" s="5"/>
    </row>
    <row r="151" spans="1:19" x14ac:dyDescent="0.3">
      <c r="A151" s="3">
        <v>1147</v>
      </c>
      <c r="B151" s="4" t="s">
        <v>218</v>
      </c>
      <c r="C151" s="5" t="s">
        <v>33</v>
      </c>
      <c r="D151" s="5" t="s">
        <v>31</v>
      </c>
      <c r="E151" s="8" t="str">
        <f t="shared" si="10"/>
        <v>ui_s1_fight_km_name_zhuqueyushan</v>
      </c>
      <c r="F151" s="8" t="str">
        <f t="shared" si="11"/>
        <v>ui_s1_fight_card1_tu_zqys</v>
      </c>
      <c r="G151" s="8" t="str">
        <f t="shared" si="12"/>
        <v/>
      </c>
      <c r="H151" s="8" t="s">
        <v>391</v>
      </c>
      <c r="I151" s="8" t="str">
        <f t="shared" si="13"/>
        <v>AudioNull</v>
      </c>
      <c r="J151" s="8" t="str">
        <f t="shared" si="14"/>
        <v>ui_s1_fight_zhuangbei_010_yushan</v>
      </c>
      <c r="Q151" s="5"/>
      <c r="R151" s="5"/>
      <c r="S151" s="5"/>
    </row>
    <row r="152" spans="1:19" x14ac:dyDescent="0.3">
      <c r="A152" s="3">
        <v>1148</v>
      </c>
      <c r="B152" s="5" t="s">
        <v>378</v>
      </c>
      <c r="C152" s="5" t="s">
        <v>33</v>
      </c>
      <c r="D152" s="5" t="s">
        <v>33</v>
      </c>
      <c r="E152" s="8" t="s">
        <v>379</v>
      </c>
      <c r="F152" s="8" t="s">
        <v>49</v>
      </c>
      <c r="G152" s="8"/>
      <c r="H152" s="8" t="s">
        <v>30</v>
      </c>
      <c r="I152" s="8" t="s">
        <v>43</v>
      </c>
      <c r="J152" s="8"/>
      <c r="Q152" s="5"/>
      <c r="R152" s="5"/>
      <c r="S152" s="5"/>
    </row>
    <row r="153" spans="1:19" x14ac:dyDescent="0.3">
      <c r="A153" s="3">
        <v>1149</v>
      </c>
      <c r="B153" s="5" t="s">
        <v>203</v>
      </c>
      <c r="C153" s="5" t="s">
        <v>33</v>
      </c>
      <c r="D153" s="5" t="s">
        <v>39</v>
      </c>
      <c r="E153" s="8" t="str">
        <f t="shared" si="10"/>
        <v>ui_s1_fight_km_name_chitu</v>
      </c>
      <c r="F153" s="8" t="str">
        <f t="shared" si="11"/>
        <v>ui_s1_fight_card1_tu_ct</v>
      </c>
      <c r="G153" s="8" t="str">
        <f t="shared" si="12"/>
        <v/>
      </c>
      <c r="H153" s="8" t="s">
        <v>392</v>
      </c>
      <c r="I153" s="8" t="str">
        <f t="shared" si="13"/>
        <v>AudioNull</v>
      </c>
      <c r="J153" s="8" t="str">
        <f t="shared" si="14"/>
        <v>ui_s1_fight_zhuangbei_020_chitupng</v>
      </c>
      <c r="Q153" s="5"/>
      <c r="R153" s="5"/>
      <c r="S153" s="5"/>
    </row>
    <row r="154" spans="1:19" x14ac:dyDescent="0.3">
      <c r="A154" s="3">
        <v>1150</v>
      </c>
      <c r="B154" s="5" t="s">
        <v>378</v>
      </c>
      <c r="C154" s="5" t="s">
        <v>33</v>
      </c>
      <c r="D154" s="5" t="s">
        <v>46</v>
      </c>
      <c r="E154" s="8" t="s">
        <v>379</v>
      </c>
      <c r="F154" s="8" t="s">
        <v>49</v>
      </c>
      <c r="G154" s="8"/>
      <c r="H154" s="8" t="s">
        <v>30</v>
      </c>
      <c r="I154" s="8" t="s">
        <v>43</v>
      </c>
      <c r="J154" s="8"/>
      <c r="Q154" s="5"/>
      <c r="R154" s="5"/>
      <c r="S154" s="5"/>
    </row>
    <row r="155" spans="1:19" x14ac:dyDescent="0.3">
      <c r="A155" s="3">
        <v>1151</v>
      </c>
      <c r="B155" s="5" t="s">
        <v>378</v>
      </c>
      <c r="C155" s="5" t="s">
        <v>33</v>
      </c>
      <c r="D155" s="5" t="s">
        <v>51</v>
      </c>
      <c r="E155" s="8" t="s">
        <v>379</v>
      </c>
      <c r="F155" s="8" t="s">
        <v>49</v>
      </c>
      <c r="G155" s="8"/>
      <c r="H155" s="8" t="s">
        <v>30</v>
      </c>
      <c r="I155" s="8" t="s">
        <v>43</v>
      </c>
      <c r="J155" s="8"/>
      <c r="Q155" s="5"/>
      <c r="R155" s="5"/>
      <c r="S155" s="5"/>
    </row>
    <row r="156" spans="1:19" x14ac:dyDescent="0.3">
      <c r="A156" s="3">
        <v>1152</v>
      </c>
      <c r="B156" s="5" t="s">
        <v>378</v>
      </c>
      <c r="C156" s="5" t="s">
        <v>33</v>
      </c>
      <c r="D156" s="5" t="s">
        <v>57</v>
      </c>
      <c r="E156" s="8" t="s">
        <v>379</v>
      </c>
      <c r="F156" s="8" t="s">
        <v>49</v>
      </c>
      <c r="G156" s="8"/>
      <c r="H156" s="8" t="s">
        <v>30</v>
      </c>
      <c r="I156" s="8" t="s">
        <v>43</v>
      </c>
      <c r="J156" s="8"/>
      <c r="Q156" s="5"/>
      <c r="R156" s="5"/>
      <c r="S156" s="5"/>
    </row>
    <row r="157" spans="1:19" x14ac:dyDescent="0.3">
      <c r="A157" s="3">
        <v>1153</v>
      </c>
      <c r="B157" s="5" t="s">
        <v>105</v>
      </c>
      <c r="C157" s="5" t="s">
        <v>33</v>
      </c>
      <c r="D157" s="5" t="s">
        <v>25</v>
      </c>
      <c r="E157" s="8" t="str">
        <f t="shared" si="10"/>
        <v>ui_s1_fight_km_name_qlg</v>
      </c>
      <c r="F157" s="8" t="str">
        <f t="shared" si="11"/>
        <v>ui_s1_fight_card1_tu_qilingong</v>
      </c>
      <c r="G157" s="8" t="str">
        <f t="shared" si="12"/>
        <v/>
      </c>
      <c r="H157" s="8" t="s">
        <v>393</v>
      </c>
      <c r="I157" s="8" t="str">
        <f t="shared" si="13"/>
        <v>AudioNull</v>
      </c>
      <c r="J157" s="8" t="str">
        <f t="shared" si="14"/>
        <v>ui_s1_fight_zhuangbei_005_longshegong</v>
      </c>
      <c r="Q157" s="5"/>
      <c r="R157" s="5"/>
      <c r="S157" s="5"/>
    </row>
    <row r="158" spans="1:19" x14ac:dyDescent="0.3">
      <c r="A158" s="3">
        <v>1154</v>
      </c>
      <c r="B158" s="5" t="s">
        <v>378</v>
      </c>
      <c r="C158" s="5" t="s">
        <v>33</v>
      </c>
      <c r="D158" s="5" t="s">
        <v>28</v>
      </c>
      <c r="E158" s="8" t="s">
        <v>379</v>
      </c>
      <c r="F158" s="8" t="s">
        <v>49</v>
      </c>
      <c r="G158" s="8"/>
      <c r="H158" s="8" t="s">
        <v>30</v>
      </c>
      <c r="I158" s="8" t="s">
        <v>43</v>
      </c>
      <c r="J158" s="8"/>
      <c r="Q158" s="5"/>
      <c r="R158" s="5"/>
      <c r="S158" s="5"/>
    </row>
    <row r="159" spans="1:19" x14ac:dyDescent="0.3">
      <c r="A159" s="3">
        <v>1155</v>
      </c>
      <c r="B159" s="5" t="s">
        <v>378</v>
      </c>
      <c r="C159" s="5" t="s">
        <v>33</v>
      </c>
      <c r="D159" s="5" t="s">
        <v>31</v>
      </c>
      <c r="E159" s="8" t="s">
        <v>379</v>
      </c>
      <c r="F159" s="8" t="s">
        <v>49</v>
      </c>
      <c r="G159" s="8"/>
      <c r="H159" s="8" t="s">
        <v>30</v>
      </c>
      <c r="I159" s="8" t="s">
        <v>43</v>
      </c>
      <c r="J159" s="8"/>
      <c r="Q159" s="5"/>
      <c r="R159" s="5"/>
      <c r="S159" s="5"/>
    </row>
    <row r="160" spans="1:19" x14ac:dyDescent="0.3">
      <c r="A160" s="3">
        <v>1156</v>
      </c>
      <c r="B160" s="5" t="s">
        <v>378</v>
      </c>
      <c r="C160" s="5" t="s">
        <v>33</v>
      </c>
      <c r="D160" s="5" t="s">
        <v>33</v>
      </c>
      <c r="E160" s="8" t="s">
        <v>379</v>
      </c>
      <c r="F160" s="8" t="s">
        <v>49</v>
      </c>
      <c r="G160" s="8"/>
      <c r="H160" s="8" t="s">
        <v>30</v>
      </c>
      <c r="I160" s="8" t="s">
        <v>43</v>
      </c>
      <c r="J160" s="8"/>
      <c r="Q160" s="5"/>
      <c r="R160" s="5"/>
      <c r="S160" s="5"/>
    </row>
    <row r="161" spans="1:19" x14ac:dyDescent="0.3">
      <c r="A161" s="3">
        <v>1157</v>
      </c>
      <c r="B161" s="5" t="s">
        <v>378</v>
      </c>
      <c r="C161" s="5" t="s">
        <v>33</v>
      </c>
      <c r="D161" s="5" t="s">
        <v>39</v>
      </c>
      <c r="E161" s="8" t="s">
        <v>379</v>
      </c>
      <c r="F161" s="8" t="s">
        <v>49</v>
      </c>
      <c r="G161" s="8"/>
      <c r="H161" s="8" t="s">
        <v>30</v>
      </c>
      <c r="I161" s="8" t="s">
        <v>43</v>
      </c>
      <c r="J161" s="8"/>
      <c r="Q161" s="5"/>
      <c r="R161" s="5"/>
      <c r="S161" s="5"/>
    </row>
    <row r="162" spans="1:19" x14ac:dyDescent="0.3">
      <c r="A162" s="3">
        <v>1158</v>
      </c>
      <c r="B162" s="5" t="s">
        <v>378</v>
      </c>
      <c r="C162" s="5" t="s">
        <v>33</v>
      </c>
      <c r="D162" s="5" t="s">
        <v>46</v>
      </c>
      <c r="E162" s="8" t="s">
        <v>379</v>
      </c>
      <c r="F162" s="8" t="s">
        <v>49</v>
      </c>
      <c r="G162" s="8"/>
      <c r="H162" s="8" t="s">
        <v>30</v>
      </c>
      <c r="I162" s="8" t="s">
        <v>43</v>
      </c>
      <c r="J162" s="8"/>
      <c r="Q162" s="5"/>
      <c r="R162" s="4"/>
      <c r="S162" s="4"/>
    </row>
    <row r="163" spans="1:19" x14ac:dyDescent="0.3">
      <c r="A163" s="3">
        <v>1159</v>
      </c>
      <c r="B163" s="5" t="s">
        <v>378</v>
      </c>
      <c r="C163" s="5" t="s">
        <v>33</v>
      </c>
      <c r="D163" s="5" t="s">
        <v>51</v>
      </c>
      <c r="E163" s="8" t="s">
        <v>379</v>
      </c>
      <c r="F163" s="8" t="s">
        <v>49</v>
      </c>
      <c r="G163" s="8"/>
      <c r="H163" s="8" t="s">
        <v>30</v>
      </c>
      <c r="I163" s="8" t="s">
        <v>43</v>
      </c>
      <c r="J163" s="8"/>
      <c r="Q163" s="5"/>
      <c r="R163" s="4"/>
      <c r="S163" s="4"/>
    </row>
    <row r="164" spans="1:19" x14ac:dyDescent="0.3">
      <c r="A164" s="3">
        <v>1160</v>
      </c>
      <c r="B164" s="5" t="s">
        <v>378</v>
      </c>
      <c r="C164" s="5" t="s">
        <v>33</v>
      </c>
      <c r="D164" s="5" t="s">
        <v>57</v>
      </c>
      <c r="E164" s="8" t="s">
        <v>379</v>
      </c>
      <c r="F164" s="8" t="s">
        <v>49</v>
      </c>
      <c r="G164" s="8"/>
      <c r="H164" s="8" t="s">
        <v>30</v>
      </c>
      <c r="I164" s="8" t="s">
        <v>43</v>
      </c>
      <c r="J164" s="8"/>
      <c r="Q164" s="5"/>
      <c r="R164" s="5"/>
      <c r="S164" s="5"/>
    </row>
    <row r="165" spans="1:19" x14ac:dyDescent="0.3">
      <c r="A165" s="3">
        <v>1161</v>
      </c>
      <c r="B165" s="5" t="s">
        <v>222</v>
      </c>
      <c r="C165" s="5" t="s">
        <v>39</v>
      </c>
      <c r="D165" s="5" t="s">
        <v>25</v>
      </c>
      <c r="E165" s="8" t="str">
        <f t="shared" ref="E165:E166" si="15">IF(INDEX(R$8:R$67,MATCH($B165,$Q$8:$Q$67,0))=0,"",INDEX(R$8:R$67,MATCH($B165,$Q$8:$Q$67,0)))</f>
        <v>ui_s1_fight_km_yi</v>
      </c>
      <c r="F165" s="8" t="str">
        <f t="shared" si="11"/>
        <v>ui_s1_fight_card1_tu_yi</v>
      </c>
      <c r="G165" s="8"/>
      <c r="H165" s="8" t="s">
        <v>222</v>
      </c>
      <c r="I165" s="8" t="str">
        <f t="shared" si="13"/>
        <v>AudioNull</v>
      </c>
      <c r="J165" s="8" t="str">
        <f t="shared" si="14"/>
        <v/>
      </c>
      <c r="Q165" s="5"/>
      <c r="R165" s="5"/>
      <c r="S165" s="5"/>
    </row>
    <row r="166" spans="1:19" x14ac:dyDescent="0.3">
      <c r="A166" s="3">
        <v>1162</v>
      </c>
      <c r="B166" s="5" t="s">
        <v>222</v>
      </c>
      <c r="C166" s="5" t="s">
        <v>39</v>
      </c>
      <c r="D166" s="5" t="s">
        <v>57</v>
      </c>
      <c r="E166" s="8" t="str">
        <f t="shared" si="15"/>
        <v>ui_s1_fight_km_yi</v>
      </c>
      <c r="F166" s="8" t="str">
        <f t="shared" si="11"/>
        <v>ui_s1_fight_card1_tu_yi</v>
      </c>
      <c r="G166" s="8"/>
      <c r="H166" s="8" t="s">
        <v>222</v>
      </c>
      <c r="I166" s="8" t="str">
        <f t="shared" si="13"/>
        <v>AudioNull</v>
      </c>
      <c r="J166" s="8" t="str">
        <f t="shared" si="14"/>
        <v/>
      </c>
    </row>
    <row r="167" spans="1:19" x14ac:dyDescent="0.3">
      <c r="A167" s="3">
        <v>2001</v>
      </c>
      <c r="B167" s="5" t="s">
        <v>227</v>
      </c>
      <c r="E167" s="8" t="str">
        <f t="shared" si="10"/>
        <v>ui_s1_fight_km_name_fushui</v>
      </c>
      <c r="F167" s="8" t="str">
        <f t="shared" si="11"/>
        <v>ui_s1_fight_card1_tu_fushui</v>
      </c>
      <c r="G167" s="8" t="str">
        <f t="shared" si="12"/>
        <v/>
      </c>
      <c r="H167" s="8" t="s">
        <v>394</v>
      </c>
      <c r="I167" s="8" t="str">
        <f t="shared" si="13"/>
        <v>AudioNull</v>
      </c>
      <c r="J167" s="8" t="str">
        <f t="shared" si="14"/>
        <v/>
      </c>
    </row>
    <row r="168" spans="1:19" x14ac:dyDescent="0.3">
      <c r="A168" s="3">
        <v>2002</v>
      </c>
      <c r="B168" s="5" t="s">
        <v>230</v>
      </c>
      <c r="C168" s="5" t="s">
        <v>28</v>
      </c>
      <c r="D168" s="5" t="s">
        <v>51</v>
      </c>
      <c r="E168" s="8" t="str">
        <f t="shared" si="10"/>
        <v>ui_s1_fight_km_name_taohua</v>
      </c>
      <c r="F168" s="8" t="str">
        <f t="shared" si="11"/>
        <v>ui_s1_fight_card1_tu_taohua</v>
      </c>
      <c r="G168" s="8" t="str">
        <f t="shared" si="12"/>
        <v/>
      </c>
      <c r="H168" s="8" t="s">
        <v>395</v>
      </c>
      <c r="I168" s="8" t="str">
        <f t="shared" si="13"/>
        <v>AudioNull</v>
      </c>
      <c r="J168" s="8" t="str">
        <f t="shared" si="14"/>
        <v/>
      </c>
    </row>
    <row r="169" spans="1:19" x14ac:dyDescent="0.3">
      <c r="A169" s="3">
        <v>2003</v>
      </c>
      <c r="B169" s="4" t="s">
        <v>233</v>
      </c>
      <c r="C169" s="4" t="s">
        <v>31</v>
      </c>
      <c r="D169" s="5" t="s">
        <v>25</v>
      </c>
      <c r="E169" s="8" t="str">
        <f t="shared" si="10"/>
        <v>ui_s1_fight_km_name_shezhanqunru</v>
      </c>
      <c r="F169" s="8" t="str">
        <f t="shared" si="11"/>
        <v>ui_s1_fight_card1_tu_shezhanqunru</v>
      </c>
      <c r="G169" s="8" t="str">
        <f t="shared" si="12"/>
        <v/>
      </c>
      <c r="H169" s="8" t="s">
        <v>396</v>
      </c>
      <c r="I169" s="8" t="str">
        <f t="shared" si="13"/>
        <v>AudioNull</v>
      </c>
      <c r="J169" s="8" t="str">
        <f t="shared" si="14"/>
        <v/>
      </c>
    </row>
    <row r="170" spans="1:19" x14ac:dyDescent="0.3">
      <c r="A170" s="3">
        <v>2004</v>
      </c>
      <c r="B170" s="4" t="s">
        <v>236</v>
      </c>
      <c r="C170" s="4" t="s">
        <v>28</v>
      </c>
      <c r="D170" s="5" t="s">
        <v>28</v>
      </c>
      <c r="E170" s="8" t="str">
        <f t="shared" si="10"/>
        <v>ui_s1_fight_km_name_caochuanjiejian</v>
      </c>
      <c r="F170" s="8" t="str">
        <f t="shared" si="11"/>
        <v>ui_s1_fight_card1_tu_caochuanjiejian</v>
      </c>
      <c r="G170" s="8" t="str">
        <f t="shared" si="12"/>
        <v/>
      </c>
      <c r="H170" s="8" t="s">
        <v>397</v>
      </c>
      <c r="I170" s="8" t="str">
        <f t="shared" si="13"/>
        <v>AudioNull</v>
      </c>
      <c r="J170" s="8" t="str">
        <f t="shared" si="14"/>
        <v/>
      </c>
    </row>
    <row r="171" spans="1:19" x14ac:dyDescent="0.3">
      <c r="A171" s="3">
        <v>2005</v>
      </c>
      <c r="B171" s="4" t="s">
        <v>239</v>
      </c>
      <c r="C171" s="4" t="s">
        <v>33</v>
      </c>
      <c r="D171" s="5" t="s">
        <v>31</v>
      </c>
      <c r="E171" s="8" t="str">
        <f t="shared" si="10"/>
        <v>ui_s1_fight_km_name_qixingjifeng</v>
      </c>
      <c r="F171" s="8" t="str">
        <f t="shared" si="11"/>
        <v>ui_s1_fight_card1_tu_qixingjifeng</v>
      </c>
      <c r="G171" s="8" t="str">
        <f t="shared" si="12"/>
        <v/>
      </c>
      <c r="H171" s="8" t="s">
        <v>398</v>
      </c>
      <c r="I171" s="8" t="str">
        <f t="shared" si="13"/>
        <v>AudioNull</v>
      </c>
      <c r="J171" s="8" t="str">
        <f t="shared" si="14"/>
        <v/>
      </c>
    </row>
    <row r="172" spans="1:19" x14ac:dyDescent="0.3">
      <c r="A172" s="3">
        <v>2006</v>
      </c>
      <c r="B172" s="4" t="s">
        <v>242</v>
      </c>
      <c r="C172" s="4" t="s">
        <v>25</v>
      </c>
      <c r="D172" s="5" t="s">
        <v>33</v>
      </c>
      <c r="E172" s="8" t="str">
        <f t="shared" si="10"/>
        <v>ui_s1_fight_km_name_zhiquhuarong</v>
      </c>
      <c r="F172" s="8" t="str">
        <f t="shared" si="11"/>
        <v>ui_s1_fight_card1_tu_zhiquhuarong</v>
      </c>
      <c r="G172" s="8" t="str">
        <f t="shared" si="12"/>
        <v/>
      </c>
      <c r="H172" s="8" t="s">
        <v>399</v>
      </c>
      <c r="I172" s="8" t="str">
        <f t="shared" si="13"/>
        <v>AudioNull</v>
      </c>
      <c r="J172" s="8" t="str">
        <f t="shared" si="14"/>
        <v/>
      </c>
    </row>
    <row r="173" spans="1:19" x14ac:dyDescent="0.3">
      <c r="A173" s="3">
        <v>2007</v>
      </c>
      <c r="B173" s="4" t="s">
        <v>245</v>
      </c>
      <c r="C173" s="4" t="s">
        <v>25</v>
      </c>
      <c r="D173" s="5" t="s">
        <v>39</v>
      </c>
      <c r="E173" s="8" t="str">
        <f t="shared" si="10"/>
        <v>ui_s1_fight_km_name_qiqinqizong</v>
      </c>
      <c r="F173" s="8" t="str">
        <f t="shared" si="11"/>
        <v>ui_s1_fight_card1_tu_qiqinqizong</v>
      </c>
      <c r="G173" s="8" t="str">
        <f t="shared" si="12"/>
        <v/>
      </c>
      <c r="H173" s="8" t="s">
        <v>400</v>
      </c>
      <c r="I173" s="8" t="str">
        <f t="shared" si="13"/>
        <v>AudioNull</v>
      </c>
      <c r="J173" s="8" t="str">
        <f t="shared" si="14"/>
        <v/>
      </c>
    </row>
    <row r="174" spans="1:19" x14ac:dyDescent="0.3">
      <c r="A174" s="3">
        <v>2008</v>
      </c>
      <c r="B174" s="4" t="s">
        <v>249</v>
      </c>
      <c r="C174" s="4" t="s">
        <v>31</v>
      </c>
      <c r="D174" s="5" t="s">
        <v>46</v>
      </c>
      <c r="E174" s="8" t="str">
        <f t="shared" si="10"/>
        <v>ui_s1_fight_km_name_kongchengji</v>
      </c>
      <c r="F174" s="8" t="str">
        <f t="shared" si="11"/>
        <v>ui_s1_fight_card1_tu_kongchengji</v>
      </c>
      <c r="G174" s="8" t="str">
        <f t="shared" si="12"/>
        <v/>
      </c>
      <c r="H174" s="8" t="s">
        <v>401</v>
      </c>
      <c r="I174" s="8" t="str">
        <f t="shared" si="13"/>
        <v>AudioNull</v>
      </c>
      <c r="J174" s="8" t="str">
        <f t="shared" si="14"/>
        <v/>
      </c>
    </row>
    <row r="175" spans="1:19" x14ac:dyDescent="0.3">
      <c r="A175" s="3">
        <v>2009</v>
      </c>
      <c r="B175" s="4" t="s">
        <v>252</v>
      </c>
      <c r="C175" s="4" t="s">
        <v>33</v>
      </c>
      <c r="D175" s="5" t="s">
        <v>51</v>
      </c>
      <c r="E175" s="8" t="str">
        <f t="shared" si="10"/>
        <v>ui_s1_fight_km_name_shangfangyonghuo</v>
      </c>
      <c r="F175" s="8" t="str">
        <f t="shared" si="11"/>
        <v>ui_s1_fight_card1_tu_shangfangyonhuo</v>
      </c>
      <c r="G175" s="8" t="str">
        <f t="shared" si="12"/>
        <v/>
      </c>
      <c r="H175" s="8" t="s">
        <v>402</v>
      </c>
      <c r="I175" s="8" t="str">
        <f t="shared" si="13"/>
        <v>AudioNull</v>
      </c>
      <c r="J175" s="8" t="str">
        <f t="shared" si="14"/>
        <v/>
      </c>
    </row>
    <row r="176" spans="1:19" x14ac:dyDescent="0.3">
      <c r="A176" s="3">
        <v>2010</v>
      </c>
      <c r="B176" s="4" t="s">
        <v>256</v>
      </c>
      <c r="C176" s="4" t="s">
        <v>28</v>
      </c>
      <c r="D176" s="5" t="s">
        <v>57</v>
      </c>
      <c r="E176" s="8" t="str">
        <f t="shared" si="10"/>
        <v>ui_s1_fight_km_name_jieshihuanhun</v>
      </c>
      <c r="F176" s="8" t="str">
        <f t="shared" si="11"/>
        <v>ui_s1_fight_card1_tu_jieshihuanhun</v>
      </c>
      <c r="G176" s="8" t="str">
        <f t="shared" si="12"/>
        <v/>
      </c>
      <c r="H176" s="8" t="s">
        <v>403</v>
      </c>
      <c r="I176" s="8" t="str">
        <f t="shared" si="13"/>
        <v>AudioNull</v>
      </c>
      <c r="J176" s="8" t="str">
        <f t="shared" si="14"/>
        <v/>
      </c>
    </row>
    <row r="177" spans="1:10" x14ac:dyDescent="0.3">
      <c r="A177" s="3">
        <v>2011</v>
      </c>
      <c r="B177" s="4" t="s">
        <v>259</v>
      </c>
      <c r="C177" s="4" t="s">
        <v>28</v>
      </c>
      <c r="D177" s="5" t="s">
        <v>57</v>
      </c>
      <c r="E177" s="8" t="str">
        <f>IF(INDEX(R$8:R$95,MATCH($B177,$Q$8:$Q$95,0))=0,"",INDEX(R$8:R$95,MATCH($B177,$Q$8:$Q$95,0)))</f>
        <v>ui_s1_fight_km_name_wentao</v>
      </c>
      <c r="F177" s="8" t="str">
        <f>IF(INDEX(S$8:S$95,MATCH($B177,$Q$8:$Q$95,0))=0,"",INDEX(S$8:S$95,MATCH($B177,$Q$8:$Q$95,0)))</f>
        <v>ui_s1_fight_card1_tu_wentao</v>
      </c>
      <c r="G177" s="8" t="str">
        <f t="shared" ref="G177:G182" si="16">IF(INDEX(T$8:T$95,MATCH($B177,$Q$8:$Q$95,0))=0,"",INDEX(T$8:T$95,MATCH($B177,$Q$8:$Q$95,0)))</f>
        <v/>
      </c>
      <c r="H177" s="8" t="s">
        <v>404</v>
      </c>
      <c r="I177" s="8" t="str">
        <f>IF(INDEX(U$8:U$95,MATCH($B177,$Q$8:$Q$95,0))=0,"",INDEX(U$8:U$95,MATCH($B177,$Q$8:$Q$95,0)))</f>
        <v>AudioNull</v>
      </c>
      <c r="J177" s="8" t="str">
        <f t="shared" ref="J177:J182" si="17">IF(INDEX(V$8:V$95,MATCH($B177,$Q$8:$Q$95,0))=0,"",INDEX(V$8:V$95,MATCH($B177,$Q$8:$Q$95,0)))</f>
        <v/>
      </c>
    </row>
    <row r="178" spans="1:10" x14ac:dyDescent="0.3">
      <c r="A178" s="3">
        <v>2012</v>
      </c>
      <c r="B178" s="4" t="s">
        <v>263</v>
      </c>
      <c r="C178" s="4" t="s">
        <v>28</v>
      </c>
      <c r="D178" s="5" t="s">
        <v>57</v>
      </c>
      <c r="E178" s="8" t="str">
        <f t="shared" ref="E178:E191" si="18">IF(INDEX(R$8:R$95,MATCH($B178,$Q$8:$Q$95,0))=0,"",INDEX(R$8:R$95,MATCH($B178,$Q$8:$Q$95,0)))</f>
        <v>ui_s1_fight_km_name_wutao</v>
      </c>
      <c r="F178" s="8" t="str">
        <f t="shared" ref="F178:F198" si="19">IF(INDEX(S$8:S$95,MATCH($B178,$Q$8:$Q$95,0))=0,"",INDEX(S$8:S$95,MATCH($B178,$Q$8:$Q$95,0)))</f>
        <v>ui_s1_fight_card1_tu_wutao</v>
      </c>
      <c r="G178" s="8" t="str">
        <f t="shared" si="16"/>
        <v/>
      </c>
      <c r="H178" s="8" t="s">
        <v>405</v>
      </c>
      <c r="I178" s="8" t="str">
        <f t="shared" ref="I178:I198" si="20">IF(INDEX(U$8:U$95,MATCH($B178,$Q$8:$Q$95,0))=0,"",INDEX(U$8:U$95,MATCH($B178,$Q$8:$Q$95,0)))</f>
        <v>AudioNull</v>
      </c>
      <c r="J178" s="8" t="str">
        <f t="shared" si="17"/>
        <v/>
      </c>
    </row>
    <row r="179" spans="1:10" x14ac:dyDescent="0.3">
      <c r="A179" s="3">
        <v>2013</v>
      </c>
      <c r="B179" s="4" t="s">
        <v>266</v>
      </c>
      <c r="C179" s="4" t="s">
        <v>28</v>
      </c>
      <c r="D179" s="5" t="s">
        <v>57</v>
      </c>
      <c r="E179" s="8" t="str">
        <f t="shared" si="18"/>
        <v>ui_s1_fight_km_name_longtao</v>
      </c>
      <c r="F179" s="8" t="str">
        <f t="shared" si="19"/>
        <v>ui_s1_fight_card1_tu_longtao</v>
      </c>
      <c r="G179" s="8" t="str">
        <f t="shared" si="16"/>
        <v/>
      </c>
      <c r="H179" s="8" t="s">
        <v>406</v>
      </c>
      <c r="I179" s="8" t="str">
        <f t="shared" si="20"/>
        <v>AudioNull</v>
      </c>
      <c r="J179" s="8" t="str">
        <f t="shared" si="17"/>
        <v/>
      </c>
    </row>
    <row r="180" spans="1:10" x14ac:dyDescent="0.3">
      <c r="A180" s="3">
        <v>2014</v>
      </c>
      <c r="B180" s="4" t="s">
        <v>269</v>
      </c>
      <c r="C180" s="4" t="s">
        <v>28</v>
      </c>
      <c r="D180" s="5" t="s">
        <v>57</v>
      </c>
      <c r="E180" s="8" t="str">
        <f t="shared" si="18"/>
        <v>ui_s1_fight_km_name_hutao</v>
      </c>
      <c r="F180" s="8" t="str">
        <f t="shared" si="19"/>
        <v>ui_s1_fight_card1_tu_hutao</v>
      </c>
      <c r="G180" s="8" t="str">
        <f t="shared" si="16"/>
        <v/>
      </c>
      <c r="H180" s="8" t="s">
        <v>407</v>
      </c>
      <c r="I180" s="8" t="str">
        <f t="shared" si="20"/>
        <v>AudioNull</v>
      </c>
      <c r="J180" s="8" t="str">
        <f t="shared" si="17"/>
        <v/>
      </c>
    </row>
    <row r="181" spans="1:10" x14ac:dyDescent="0.3">
      <c r="A181" s="3">
        <v>2015</v>
      </c>
      <c r="B181" s="4" t="s">
        <v>272</v>
      </c>
      <c r="C181" s="4" t="s">
        <v>28</v>
      </c>
      <c r="D181" s="5" t="s">
        <v>57</v>
      </c>
      <c r="E181" s="8" t="str">
        <f t="shared" si="18"/>
        <v>ui_s1_fight_km_name_baotao</v>
      </c>
      <c r="F181" s="8" t="str">
        <f t="shared" si="19"/>
        <v>ui_s1_fight_card1_tu_baotao</v>
      </c>
      <c r="G181" s="8" t="str">
        <f t="shared" si="16"/>
        <v/>
      </c>
      <c r="H181" s="8" t="s">
        <v>408</v>
      </c>
      <c r="I181" s="8" t="str">
        <f t="shared" si="20"/>
        <v>AudioNull</v>
      </c>
      <c r="J181" s="8" t="str">
        <f t="shared" si="17"/>
        <v/>
      </c>
    </row>
    <row r="182" spans="1:10" x14ac:dyDescent="0.3">
      <c r="A182" s="3">
        <v>2016</v>
      </c>
      <c r="B182" s="4" t="s">
        <v>276</v>
      </c>
      <c r="C182" s="4" t="s">
        <v>28</v>
      </c>
      <c r="D182" s="5" t="s">
        <v>57</v>
      </c>
      <c r="E182" s="8" t="str">
        <f t="shared" si="18"/>
        <v>ui_s1_fight_km_name_quantao</v>
      </c>
      <c r="F182" s="8" t="str">
        <f t="shared" si="19"/>
        <v>ui_s1_fight_card1_tu_quantao</v>
      </c>
      <c r="G182" s="8" t="str">
        <f t="shared" si="16"/>
        <v/>
      </c>
      <c r="H182" s="8" t="s">
        <v>409</v>
      </c>
      <c r="I182" s="8" t="str">
        <f t="shared" si="20"/>
        <v>AudioNull</v>
      </c>
      <c r="J182" s="8" t="str">
        <f t="shared" si="17"/>
        <v/>
      </c>
    </row>
    <row r="183" spans="1:10" x14ac:dyDescent="0.3">
      <c r="A183" s="3">
        <v>2017</v>
      </c>
      <c r="B183" s="5" t="s">
        <v>280</v>
      </c>
      <c r="C183" s="4" t="s">
        <v>39</v>
      </c>
      <c r="D183" s="5" t="s">
        <v>28</v>
      </c>
      <c r="E183" s="8" t="str">
        <f t="shared" si="18"/>
        <v>ui_s1_fight_km_name_qishangmanxia</v>
      </c>
      <c r="F183" s="8" t="str">
        <f t="shared" si="19"/>
        <v>ui_s1_fight_card1_tu_qishangmanxia</v>
      </c>
      <c r="H183" s="8" t="s">
        <v>410</v>
      </c>
      <c r="I183" s="8" t="str">
        <f t="shared" si="20"/>
        <v>AudioNull</v>
      </c>
    </row>
    <row r="184" spans="1:10" x14ac:dyDescent="0.3">
      <c r="A184" s="3">
        <v>2018</v>
      </c>
      <c r="B184" s="5" t="s">
        <v>283</v>
      </c>
      <c r="C184" s="5" t="s">
        <v>28</v>
      </c>
      <c r="D184" s="5" t="s">
        <v>28</v>
      </c>
      <c r="E184" s="8" t="str">
        <f t="shared" si="18"/>
        <v>ui_s1_fight_km_name_xianhaizhongliang</v>
      </c>
      <c r="F184" s="8" t="str">
        <f t="shared" si="19"/>
        <v>ui_s1_fight_card1_tu_xianhaizhongliang</v>
      </c>
      <c r="H184" s="8" t="s">
        <v>411</v>
      </c>
      <c r="I184" s="8" t="str">
        <f t="shared" si="20"/>
        <v>AudioNull</v>
      </c>
    </row>
    <row r="185" spans="1:10" x14ac:dyDescent="0.3">
      <c r="A185" s="3">
        <v>2019</v>
      </c>
      <c r="B185" s="5" t="s">
        <v>286</v>
      </c>
      <c r="C185" s="5" t="s">
        <v>25</v>
      </c>
      <c r="D185" s="5" t="s">
        <v>28</v>
      </c>
      <c r="E185" s="8" t="str">
        <f t="shared" si="18"/>
        <v>ui_s1_fight_km_name_hengzhengbaolian</v>
      </c>
      <c r="F185" s="8" t="str">
        <f t="shared" si="19"/>
        <v>ui_s1_fight_card1_tu_hengzhengbaolian</v>
      </c>
      <c r="H185" s="8" t="s">
        <v>412</v>
      </c>
      <c r="I185" s="8" t="str">
        <f t="shared" si="20"/>
        <v>AudioNull</v>
      </c>
    </row>
    <row r="186" spans="1:10" x14ac:dyDescent="0.3">
      <c r="A186" s="3">
        <v>2020</v>
      </c>
      <c r="B186" s="5" t="s">
        <v>289</v>
      </c>
      <c r="C186" s="5" t="s">
        <v>25</v>
      </c>
      <c r="D186" s="5" t="s">
        <v>28</v>
      </c>
      <c r="E186" s="8" t="str">
        <f t="shared" si="18"/>
        <v>ui_s1_fight_km_name_kuxingliefa</v>
      </c>
      <c r="F186" s="8" t="str">
        <f t="shared" si="19"/>
        <v>ui_s1_fight_card1_tu_kuxingliefa</v>
      </c>
      <c r="H186" s="8" t="s">
        <v>413</v>
      </c>
      <c r="I186" s="8" t="str">
        <f t="shared" si="20"/>
        <v>AudioNull</v>
      </c>
    </row>
    <row r="187" spans="1:10" x14ac:dyDescent="0.3">
      <c r="A187" s="3">
        <v>2021</v>
      </c>
      <c r="B187" s="5" t="s">
        <v>292</v>
      </c>
      <c r="C187" s="5" t="s">
        <v>31</v>
      </c>
      <c r="D187" s="5" t="s">
        <v>28</v>
      </c>
      <c r="E187" s="8" t="str">
        <f t="shared" si="18"/>
        <v>ui_s1_fight_km_name_caozongchaozheng</v>
      </c>
      <c r="F187" s="8" t="str">
        <f t="shared" si="19"/>
        <v>ui_s1_fight_card1_tu_caozongchaozheng</v>
      </c>
      <c r="H187" s="8" t="s">
        <v>414</v>
      </c>
      <c r="I187" s="8" t="str">
        <f t="shared" si="20"/>
        <v>AudioNull</v>
      </c>
    </row>
    <row r="188" spans="1:10" x14ac:dyDescent="0.3">
      <c r="A188" s="3">
        <v>2022</v>
      </c>
      <c r="B188" s="5" t="s">
        <v>295</v>
      </c>
      <c r="C188" s="5" t="s">
        <v>31</v>
      </c>
      <c r="D188" s="5" t="s">
        <v>28</v>
      </c>
      <c r="E188" s="8" t="str">
        <f t="shared" si="18"/>
        <v>ui_s1_fight_km_name_raoluanchaogang</v>
      </c>
      <c r="F188" s="8" t="str">
        <f t="shared" si="19"/>
        <v>ui_s1_fight_card1_tu_raoluanchaogang</v>
      </c>
      <c r="H188" s="8" t="s">
        <v>415</v>
      </c>
      <c r="I188" s="8" t="str">
        <f t="shared" si="20"/>
        <v>AudioNull</v>
      </c>
    </row>
    <row r="189" spans="1:10" x14ac:dyDescent="0.3">
      <c r="A189" s="3">
        <v>2023</v>
      </c>
      <c r="B189" s="5" t="s">
        <v>298</v>
      </c>
      <c r="C189" s="5" t="s">
        <v>28</v>
      </c>
      <c r="D189" s="5" t="s">
        <v>31</v>
      </c>
      <c r="E189" s="8" t="str">
        <f t="shared" si="18"/>
        <v>ui_s1_fight_km_name_duanjiaoxiezhi</v>
      </c>
      <c r="F189" s="8" t="str">
        <f t="shared" si="19"/>
        <v>ui_s1_fight_card1_tu_duanjiaoxiezhi</v>
      </c>
      <c r="H189" s="8" t="s">
        <v>416</v>
      </c>
      <c r="I189" s="8" t="str">
        <f t="shared" si="20"/>
        <v>AudioNull</v>
      </c>
      <c r="J189" s="8" t="s">
        <v>417</v>
      </c>
    </row>
    <row r="190" spans="1:10" x14ac:dyDescent="0.3">
      <c r="A190" s="3">
        <v>2024</v>
      </c>
      <c r="B190" s="5" t="s">
        <v>302</v>
      </c>
      <c r="C190" s="5" t="s">
        <v>28</v>
      </c>
      <c r="D190" s="5" t="s">
        <v>31</v>
      </c>
      <c r="E190" s="8" t="str">
        <f t="shared" si="18"/>
        <v>ui_s1_fight_km_name_qinlu</v>
      </c>
      <c r="F190" s="8" t="str">
        <f t="shared" si="19"/>
        <v>ui_s1_fight_card1_tu_qinlu</v>
      </c>
      <c r="H190" s="8" t="s">
        <v>418</v>
      </c>
      <c r="I190" s="8" t="str">
        <f t="shared" si="20"/>
        <v>AudioNull</v>
      </c>
      <c r="J190" s="8" t="s">
        <v>419</v>
      </c>
    </row>
    <row r="191" spans="1:10" x14ac:dyDescent="0.3">
      <c r="A191" s="3">
        <v>2025</v>
      </c>
      <c r="B191" s="5" t="s">
        <v>305</v>
      </c>
      <c r="C191" s="5" t="s">
        <v>31</v>
      </c>
      <c r="D191" s="5" t="s">
        <v>31</v>
      </c>
      <c r="E191" s="8" t="str">
        <f t="shared" si="18"/>
        <v>ui_s1_fight_km_name_weizhao</v>
      </c>
      <c r="F191" s="8" t="str">
        <f t="shared" si="19"/>
        <v>ui_s1_fight_card1_tu_weizhao</v>
      </c>
      <c r="H191" s="8" t="s">
        <v>420</v>
      </c>
      <c r="I191" s="8" t="str">
        <f t="shared" si="20"/>
        <v>AudioNull</v>
      </c>
      <c r="J191" s="8" t="s">
        <v>421</v>
      </c>
    </row>
    <row r="192" spans="1:10" x14ac:dyDescent="0.3">
      <c r="A192" s="3">
        <v>2026</v>
      </c>
      <c r="B192" s="5" t="s">
        <v>308</v>
      </c>
      <c r="C192" s="5" t="s">
        <v>28</v>
      </c>
      <c r="D192" s="5" t="s">
        <v>31</v>
      </c>
      <c r="E192" s="8" t="str">
        <f t="shared" ref="E192:E201" si="21">IF(INDEX(R$8:R$95,MATCH($B192,$Q$8:$Q$95,0))=0,"",INDEX(R$8:R$95,MATCH($B192,$Q$8:$Q$95,0)))</f>
        <v>ui_s1_fight_km_name_yuanli</v>
      </c>
      <c r="F192" s="8" t="str">
        <f t="shared" si="19"/>
        <v>ui_s1_fight_card1_tu_yuanli</v>
      </c>
      <c r="H192" s="8" t="s">
        <v>422</v>
      </c>
      <c r="I192" s="8" t="str">
        <f t="shared" si="20"/>
        <v>AudioNull</v>
      </c>
      <c r="J192" s="8" t="s">
        <v>423</v>
      </c>
    </row>
    <row r="193" spans="1:22" x14ac:dyDescent="0.3">
      <c r="A193" s="3">
        <v>2027</v>
      </c>
      <c r="B193" s="5" t="s">
        <v>311</v>
      </c>
      <c r="C193" s="4" t="s">
        <v>25</v>
      </c>
      <c r="D193" s="4" t="s">
        <v>33</v>
      </c>
      <c r="E193" s="8" t="str">
        <f t="shared" si="21"/>
        <v>ui_s1_fight_km_name_juanjinfanjian</v>
      </c>
      <c r="F193" s="8" t="str">
        <f t="shared" si="19"/>
        <v>ui_s1_fight_card1_tu_juanjinfanjian</v>
      </c>
      <c r="H193" s="4" t="s">
        <v>424</v>
      </c>
      <c r="I193" s="8" t="str">
        <f t="shared" si="20"/>
        <v>AudioNull</v>
      </c>
    </row>
    <row r="194" spans="1:22" x14ac:dyDescent="0.3">
      <c r="A194" s="3">
        <v>2028</v>
      </c>
      <c r="B194" s="5" t="s">
        <v>315</v>
      </c>
      <c r="C194" s="4" t="s">
        <v>28</v>
      </c>
      <c r="D194" s="4" t="s">
        <v>33</v>
      </c>
      <c r="E194" s="8" t="str">
        <f t="shared" si="21"/>
        <v>ui_s1_fight_km_name_ecaojinshi</v>
      </c>
      <c r="F194" s="8" t="str">
        <f t="shared" si="19"/>
        <v>ui_s1_fight_card1_tu_ecaojinshi</v>
      </c>
      <c r="H194" s="4" t="s">
        <v>425</v>
      </c>
      <c r="I194" s="8" t="str">
        <f t="shared" si="20"/>
        <v>AudioNull</v>
      </c>
    </row>
    <row r="195" spans="1:22" x14ac:dyDescent="0.3">
      <c r="A195" s="3">
        <v>2029</v>
      </c>
      <c r="B195" s="5" t="s">
        <v>318</v>
      </c>
      <c r="C195" s="4" t="s">
        <v>33</v>
      </c>
      <c r="D195" s="4" t="s">
        <v>28</v>
      </c>
      <c r="E195" s="8" t="str">
        <f t="shared" si="21"/>
        <v>ui_s1_fight_km_name_yejiexingyang</v>
      </c>
      <c r="F195" s="8" t="str">
        <f t="shared" si="19"/>
        <v>ui_s1_fight_card1_tu_yejiexingyang</v>
      </c>
      <c r="H195" s="4" t="s">
        <v>426</v>
      </c>
      <c r="I195" s="8" t="str">
        <f t="shared" si="20"/>
        <v>AudioNull</v>
      </c>
    </row>
    <row r="196" spans="1:22" x14ac:dyDescent="0.3">
      <c r="A196" s="3">
        <v>2030</v>
      </c>
      <c r="B196" s="5" t="s">
        <v>321</v>
      </c>
      <c r="C196" s="4" t="s">
        <v>39</v>
      </c>
      <c r="D196" s="4" t="s">
        <v>46</v>
      </c>
      <c r="E196" s="8" t="str">
        <f t="shared" si="21"/>
        <v>ui_s1_fight_km_name_niezuwenxin</v>
      </c>
      <c r="F196" s="8" t="str">
        <f t="shared" si="19"/>
        <v>ui_s1_fight_card1_tu_niezuwenxin</v>
      </c>
      <c r="H196" s="4" t="s">
        <v>427</v>
      </c>
      <c r="I196" s="8" t="str">
        <f t="shared" si="20"/>
        <v>AudioNull</v>
      </c>
    </row>
    <row r="197" spans="1:22" x14ac:dyDescent="0.3">
      <c r="A197" s="3">
        <v>2031</v>
      </c>
      <c r="B197" s="5" t="s">
        <v>324</v>
      </c>
      <c r="C197" s="4" t="s">
        <v>31</v>
      </c>
      <c r="D197" s="4" t="s">
        <v>25</v>
      </c>
      <c r="E197" s="8" t="str">
        <f t="shared" si="21"/>
        <v>ui_s1_fight_km_name_youyunmengze</v>
      </c>
      <c r="F197" s="8" t="str">
        <f t="shared" si="19"/>
        <v>ui_s1_fight_card1_tu_youyunmengze</v>
      </c>
      <c r="H197" s="4" t="s">
        <v>428</v>
      </c>
      <c r="I197" s="8" t="str">
        <f t="shared" si="20"/>
        <v>AudioNull</v>
      </c>
    </row>
    <row r="198" spans="1:22" x14ac:dyDescent="0.3">
      <c r="A198" s="3">
        <v>2032</v>
      </c>
      <c r="B198" s="5" t="s">
        <v>328</v>
      </c>
      <c r="C198" s="4" t="s">
        <v>25</v>
      </c>
      <c r="D198" s="4" t="s">
        <v>51</v>
      </c>
      <c r="E198" s="8" t="str">
        <f t="shared" si="21"/>
        <v>ui_s1_fight_km_name_baidengjiewei</v>
      </c>
      <c r="F198" s="8" t="str">
        <f t="shared" si="19"/>
        <v>ui_s1_fight_card1_tu_baidengjiewei</v>
      </c>
      <c r="H198" s="4" t="s">
        <v>429</v>
      </c>
      <c r="I198" s="8" t="str">
        <f t="shared" si="20"/>
        <v>AudioNull</v>
      </c>
    </row>
    <row r="199" spans="1:22" x14ac:dyDescent="0.3">
      <c r="A199" s="3">
        <v>2033</v>
      </c>
      <c r="B199" s="5" t="s">
        <v>332</v>
      </c>
      <c r="C199" s="4" t="s">
        <v>39</v>
      </c>
      <c r="D199" s="5" t="s">
        <v>28</v>
      </c>
      <c r="E199" s="8" t="str">
        <f t="shared" si="21"/>
        <v>ui_s1_fight_km_name_huming</v>
      </c>
      <c r="F199" s="8" t="str">
        <f t="shared" ref="F199:F201" si="22">IF(INDEX(S$8:S$95,MATCH($B199,$Q$8:$Q$95,0))=0,"",INDEX(S$8:S$95,MATCH($B199,$Q$8:$Q$95,0)))</f>
        <v>ui_s1_fight_card1_tu_huming</v>
      </c>
      <c r="H199" s="8" t="s">
        <v>430</v>
      </c>
      <c r="I199" s="8" t="str">
        <f t="shared" ref="I199:I201" si="23">IF(INDEX(U$8:U$95,MATCH($B199,$Q$8:$Q$95,0))=0,"",INDEX(U$8:U$95,MATCH($B199,$Q$8:$Q$95,0)))</f>
        <v>AudioNull</v>
      </c>
    </row>
    <row r="200" spans="1:22" x14ac:dyDescent="0.3">
      <c r="A200" s="3">
        <v>2034</v>
      </c>
      <c r="B200" s="4" t="s">
        <v>335</v>
      </c>
      <c r="C200" s="4" t="s">
        <v>25</v>
      </c>
      <c r="D200" s="4" t="s">
        <v>46</v>
      </c>
      <c r="E200" s="8" t="str">
        <f t="shared" si="21"/>
        <v>ui_s1_fight_km_name_wugangche</v>
      </c>
      <c r="F200" s="8" t="str">
        <f t="shared" si="22"/>
        <v>ui_s1_fight_card1_tu_wugangche</v>
      </c>
      <c r="H200" s="4" t="s">
        <v>431</v>
      </c>
      <c r="I200" s="8" t="str">
        <f t="shared" si="23"/>
        <v>AudioNull</v>
      </c>
      <c r="J200" s="12" t="s">
        <v>491</v>
      </c>
    </row>
    <row r="201" spans="1:22" x14ac:dyDescent="0.3">
      <c r="A201" s="3">
        <v>2035</v>
      </c>
      <c r="B201" s="4" t="s">
        <v>339</v>
      </c>
      <c r="C201" s="4" t="s">
        <v>25</v>
      </c>
      <c r="D201" s="4" t="s">
        <v>28</v>
      </c>
      <c r="E201" s="8" t="str">
        <f t="shared" si="21"/>
        <v>ui_s1_fight_km_name_weihufu</v>
      </c>
      <c r="F201" s="8" t="str">
        <f t="shared" si="22"/>
        <v>ui_s1_fight_card1_tu_weihufu</v>
      </c>
      <c r="H201" s="4" t="s">
        <v>407</v>
      </c>
      <c r="I201" s="8" t="str">
        <f t="shared" si="23"/>
        <v>AudioNull</v>
      </c>
      <c r="J201" s="8" t="s">
        <v>432</v>
      </c>
    </row>
    <row r="202" spans="1:22" customFormat="1" x14ac:dyDescent="0.3">
      <c r="A202" s="3">
        <v>2036</v>
      </c>
      <c r="B202" s="4" t="s">
        <v>374</v>
      </c>
      <c r="C202" s="4" t="s">
        <v>25</v>
      </c>
      <c r="D202" s="4" t="s">
        <v>51</v>
      </c>
      <c r="E202" s="5" t="s">
        <v>375</v>
      </c>
      <c r="F202" s="5" t="s">
        <v>376</v>
      </c>
      <c r="G202" s="4"/>
      <c r="H202" s="4" t="s">
        <v>433</v>
      </c>
      <c r="I202" s="8" t="s">
        <v>43</v>
      </c>
      <c r="J202" s="8"/>
    </row>
    <row r="203" spans="1:22" customFormat="1" x14ac:dyDescent="0.3">
      <c r="A203" s="3">
        <v>2037</v>
      </c>
      <c r="B203" s="5" t="s">
        <v>434</v>
      </c>
      <c r="C203" s="5" t="s">
        <v>28</v>
      </c>
      <c r="D203" s="5" t="s">
        <v>31</v>
      </c>
      <c r="E203" s="5" t="s">
        <v>435</v>
      </c>
      <c r="F203" s="5" t="s">
        <v>436</v>
      </c>
      <c r="G203" s="4"/>
      <c r="H203" s="5" t="s">
        <v>437</v>
      </c>
      <c r="I203" s="8" t="s">
        <v>43</v>
      </c>
      <c r="J203" s="12" t="s">
        <v>438</v>
      </c>
    </row>
    <row r="204" spans="1:22" customFormat="1" x14ac:dyDescent="0.3">
      <c r="A204" s="3">
        <v>2038</v>
      </c>
      <c r="B204" s="5" t="s">
        <v>439</v>
      </c>
      <c r="C204" s="5" t="s">
        <v>25</v>
      </c>
      <c r="D204" s="5" t="s">
        <v>31</v>
      </c>
      <c r="E204" s="5" t="s">
        <v>440</v>
      </c>
      <c r="F204" s="5" t="s">
        <v>441</v>
      </c>
      <c r="G204" s="4"/>
      <c r="H204" s="5" t="s">
        <v>442</v>
      </c>
      <c r="I204" s="8" t="s">
        <v>43</v>
      </c>
      <c r="J204" s="12" t="s">
        <v>492</v>
      </c>
    </row>
    <row r="205" spans="1:22" customFormat="1" x14ac:dyDescent="0.3">
      <c r="A205" s="3">
        <v>2039</v>
      </c>
      <c r="B205" s="13" t="s">
        <v>443</v>
      </c>
      <c r="C205" s="4" t="s">
        <v>31</v>
      </c>
      <c r="D205" s="4" t="s">
        <v>57</v>
      </c>
      <c r="E205" s="5" t="s">
        <v>444</v>
      </c>
      <c r="F205" s="5" t="s">
        <v>445</v>
      </c>
      <c r="G205" s="5"/>
      <c r="H205" s="8" t="s">
        <v>446</v>
      </c>
      <c r="I205" s="8" t="s">
        <v>43</v>
      </c>
      <c r="J205" s="8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spans="1:22" customFormat="1" x14ac:dyDescent="0.3">
      <c r="A206" s="3">
        <v>2040</v>
      </c>
      <c r="B206" s="13" t="s">
        <v>447</v>
      </c>
      <c r="C206" s="4" t="s">
        <v>28</v>
      </c>
      <c r="D206" s="4" t="s">
        <v>31</v>
      </c>
      <c r="E206" s="5" t="s">
        <v>448</v>
      </c>
      <c r="F206" s="5" t="s">
        <v>449</v>
      </c>
      <c r="G206" s="5"/>
      <c r="H206" s="8" t="s">
        <v>450</v>
      </c>
      <c r="I206" s="8" t="s">
        <v>43</v>
      </c>
      <c r="J206" s="8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spans="1:22" customFormat="1" x14ac:dyDescent="0.3">
      <c r="A207" s="3">
        <v>2041</v>
      </c>
      <c r="B207" s="13" t="s">
        <v>451</v>
      </c>
      <c r="C207" s="4" t="s">
        <v>28</v>
      </c>
      <c r="D207" s="4" t="s">
        <v>25</v>
      </c>
      <c r="E207" s="11" t="s">
        <v>452</v>
      </c>
      <c r="F207" s="5" t="s">
        <v>453</v>
      </c>
      <c r="G207" s="5"/>
      <c r="H207" s="8" t="s">
        <v>454</v>
      </c>
      <c r="I207" s="8" t="s">
        <v>43</v>
      </c>
      <c r="J207" s="8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spans="1:22" customFormat="1" x14ac:dyDescent="0.3">
      <c r="A208" s="3">
        <v>2042</v>
      </c>
      <c r="B208" s="13" t="s">
        <v>455</v>
      </c>
      <c r="C208" s="4" t="s">
        <v>31</v>
      </c>
      <c r="D208" s="4" t="s">
        <v>25</v>
      </c>
      <c r="E208" s="11" t="s">
        <v>456</v>
      </c>
      <c r="F208" s="5" t="s">
        <v>457</v>
      </c>
      <c r="G208" s="5"/>
      <c r="H208" s="8" t="s">
        <v>458</v>
      </c>
      <c r="I208" s="8" t="s">
        <v>43</v>
      </c>
      <c r="J208" s="8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spans="1:22" customFormat="1" x14ac:dyDescent="0.3">
      <c r="A209" s="3">
        <v>2043</v>
      </c>
      <c r="B209" s="13" t="s">
        <v>459</v>
      </c>
      <c r="C209" s="4" t="s">
        <v>28</v>
      </c>
      <c r="D209" s="4" t="s">
        <v>25</v>
      </c>
      <c r="E209" s="11" t="s">
        <v>460</v>
      </c>
      <c r="F209" s="11" t="s">
        <v>461</v>
      </c>
      <c r="G209" s="5"/>
      <c r="H209" s="8" t="s">
        <v>462</v>
      </c>
      <c r="I209" s="8" t="s">
        <v>43</v>
      </c>
      <c r="J209" s="8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spans="1:22" customFormat="1" x14ac:dyDescent="0.3">
      <c r="A210" s="3">
        <v>2044</v>
      </c>
      <c r="B210" s="13" t="s">
        <v>463</v>
      </c>
      <c r="C210" s="4" t="s">
        <v>28</v>
      </c>
      <c r="D210" s="4" t="s">
        <v>39</v>
      </c>
      <c r="E210" s="11" t="s">
        <v>464</v>
      </c>
      <c r="F210" s="5" t="s">
        <v>465</v>
      </c>
      <c r="G210" s="5"/>
      <c r="H210" s="8" t="s">
        <v>466</v>
      </c>
      <c r="I210" s="8" t="s">
        <v>43</v>
      </c>
      <c r="J210" s="8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spans="1:22" customFormat="1" x14ac:dyDescent="0.3">
      <c r="A211" s="3">
        <v>2045</v>
      </c>
      <c r="B211" s="14" t="s">
        <v>467</v>
      </c>
      <c r="C211" s="4"/>
      <c r="D211" s="4"/>
      <c r="E211" s="11" t="s">
        <v>468</v>
      </c>
      <c r="F211" s="11" t="s">
        <v>469</v>
      </c>
      <c r="G211" s="5"/>
      <c r="H211" s="12" t="s">
        <v>470</v>
      </c>
      <c r="I211" s="8" t="s">
        <v>43</v>
      </c>
      <c r="J211" s="8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spans="1:22" customFormat="1" x14ac:dyDescent="0.3">
      <c r="A212" s="3">
        <v>2046</v>
      </c>
      <c r="B212" s="14" t="s">
        <v>471</v>
      </c>
      <c r="C212" s="11" t="s">
        <v>482</v>
      </c>
      <c r="D212" s="11" t="s">
        <v>51</v>
      </c>
      <c r="E212" s="11" t="s">
        <v>472</v>
      </c>
      <c r="F212" s="11" t="s">
        <v>473</v>
      </c>
      <c r="G212" s="5"/>
      <c r="H212" s="12" t="s">
        <v>471</v>
      </c>
      <c r="I212" s="8" t="s">
        <v>43</v>
      </c>
      <c r="J212" s="8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spans="1:22" customFormat="1" ht="14.5" thickBot="1" x14ac:dyDescent="0.35">
      <c r="A213" s="3">
        <v>2047</v>
      </c>
      <c r="B213" s="14" t="s">
        <v>483</v>
      </c>
      <c r="C213" s="11"/>
      <c r="D213" s="11"/>
      <c r="E213" s="11" t="s">
        <v>484</v>
      </c>
      <c r="F213" s="11" t="s">
        <v>485</v>
      </c>
      <c r="G213" s="5"/>
      <c r="H213" s="12" t="s">
        <v>483</v>
      </c>
      <c r="I213" s="8" t="s">
        <v>43</v>
      </c>
      <c r="J213" s="8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spans="1:22" customFormat="1" ht="14.5" thickBot="1" x14ac:dyDescent="0.35">
      <c r="A214" s="3">
        <v>2048</v>
      </c>
      <c r="B214" s="13" t="s">
        <v>486</v>
      </c>
      <c r="C214" s="11"/>
      <c r="D214" s="11"/>
      <c r="E214" s="11" t="s">
        <v>508</v>
      </c>
      <c r="F214" s="11" t="s">
        <v>498</v>
      </c>
      <c r="G214" s="5"/>
      <c r="H214" s="12" t="s">
        <v>486</v>
      </c>
      <c r="I214" s="8" t="s">
        <v>43</v>
      </c>
      <c r="J214" s="12" t="s">
        <v>493</v>
      </c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spans="1:22" customFormat="1" x14ac:dyDescent="0.3">
      <c r="A215" s="3">
        <v>2049</v>
      </c>
      <c r="B215" s="14" t="s">
        <v>487</v>
      </c>
      <c r="C215" s="11"/>
      <c r="D215" s="11"/>
      <c r="E215" s="11" t="s">
        <v>509</v>
      </c>
      <c r="F215" s="11" t="s">
        <v>499</v>
      </c>
      <c r="G215" s="5"/>
      <c r="H215" s="12" t="s">
        <v>487</v>
      </c>
      <c r="I215" s="8" t="s">
        <v>43</v>
      </c>
      <c r="J215" s="12" t="s">
        <v>494</v>
      </c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spans="1:22" customFormat="1" x14ac:dyDescent="0.3">
      <c r="A216" s="3">
        <v>2050</v>
      </c>
      <c r="B216" s="14" t="s">
        <v>488</v>
      </c>
      <c r="C216" s="11"/>
      <c r="D216" s="11"/>
      <c r="E216" s="11" t="s">
        <v>510</v>
      </c>
      <c r="F216" s="11" t="s">
        <v>500</v>
      </c>
      <c r="G216" s="5"/>
      <c r="H216" s="12" t="s">
        <v>488</v>
      </c>
      <c r="I216" s="8" t="s">
        <v>43</v>
      </c>
      <c r="J216" s="12" t="s">
        <v>495</v>
      </c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spans="1:22" customFormat="1" ht="14.5" thickBot="1" x14ac:dyDescent="0.35">
      <c r="A217" s="3">
        <v>2051</v>
      </c>
      <c r="B217" s="14" t="s">
        <v>489</v>
      </c>
      <c r="C217" s="11"/>
      <c r="D217" s="11"/>
      <c r="E217" s="11" t="s">
        <v>511</v>
      </c>
      <c r="F217" s="11" t="s">
        <v>501</v>
      </c>
      <c r="G217" s="5"/>
      <c r="H217" s="12" t="s">
        <v>489</v>
      </c>
      <c r="I217" s="8" t="s">
        <v>43</v>
      </c>
      <c r="J217" s="12" t="s">
        <v>496</v>
      </c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spans="1:22" customFormat="1" ht="14.5" thickBot="1" x14ac:dyDescent="0.35">
      <c r="A218" s="3">
        <v>2052</v>
      </c>
      <c r="B218" s="13" t="s">
        <v>490</v>
      </c>
      <c r="C218" s="11"/>
      <c r="D218" s="11"/>
      <c r="E218" s="11" t="s">
        <v>512</v>
      </c>
      <c r="F218" s="11" t="s">
        <v>502</v>
      </c>
      <c r="G218" s="5"/>
      <c r="H218" s="12" t="s">
        <v>490</v>
      </c>
      <c r="I218" s="8" t="s">
        <v>43</v>
      </c>
      <c r="J218" s="12" t="s">
        <v>497</v>
      </c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spans="1:22" customFormat="1" x14ac:dyDescent="0.3">
      <c r="A219" s="3">
        <v>2053</v>
      </c>
      <c r="B219" s="11" t="s">
        <v>503</v>
      </c>
      <c r="C219" s="11"/>
      <c r="D219" s="11"/>
      <c r="E219" s="11" t="s">
        <v>513</v>
      </c>
      <c r="F219" s="11"/>
      <c r="G219" s="5"/>
      <c r="H219" s="12" t="s">
        <v>518</v>
      </c>
      <c r="I219" s="8" t="s">
        <v>43</v>
      </c>
      <c r="J219" s="12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spans="1:22" customFormat="1" x14ac:dyDescent="0.3">
      <c r="A220" s="3">
        <v>2054</v>
      </c>
      <c r="B220" s="11" t="s">
        <v>504</v>
      </c>
      <c r="C220" s="11"/>
      <c r="D220" s="11"/>
      <c r="E220" s="11" t="s">
        <v>514</v>
      </c>
      <c r="F220" s="11"/>
      <c r="G220" s="5"/>
      <c r="H220" s="12" t="s">
        <v>518</v>
      </c>
      <c r="I220" s="8" t="s">
        <v>43</v>
      </c>
      <c r="J220" s="12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spans="1:22" customFormat="1" x14ac:dyDescent="0.3">
      <c r="A221" s="3">
        <v>2055</v>
      </c>
      <c r="B221" s="11" t="s">
        <v>505</v>
      </c>
      <c r="C221" s="11"/>
      <c r="D221" s="11"/>
      <c r="E221" s="11" t="s">
        <v>515</v>
      </c>
      <c r="F221" s="11"/>
      <c r="G221" s="5"/>
      <c r="H221" s="12" t="s">
        <v>518</v>
      </c>
      <c r="I221" s="8" t="s">
        <v>43</v>
      </c>
      <c r="J221" s="12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spans="1:22" customFormat="1" x14ac:dyDescent="0.3">
      <c r="A222" s="3">
        <v>2056</v>
      </c>
      <c r="B222" s="11" t="s">
        <v>506</v>
      </c>
      <c r="C222" s="11"/>
      <c r="D222" s="11"/>
      <c r="E222" s="11" t="s">
        <v>516</v>
      </c>
      <c r="F222" s="11"/>
      <c r="G222" s="5"/>
      <c r="H222" s="12" t="s">
        <v>518</v>
      </c>
      <c r="I222" s="8" t="s">
        <v>43</v>
      </c>
      <c r="J222" s="12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spans="1:22" customFormat="1" x14ac:dyDescent="0.3">
      <c r="A223" s="3">
        <v>2057</v>
      </c>
      <c r="B223" s="11" t="s">
        <v>507</v>
      </c>
      <c r="C223" s="11"/>
      <c r="D223" s="11"/>
      <c r="E223" s="11" t="s">
        <v>517</v>
      </c>
      <c r="F223" s="11"/>
      <c r="G223" s="5"/>
      <c r="H223" s="12" t="s">
        <v>518</v>
      </c>
      <c r="I223" s="8" t="s">
        <v>43</v>
      </c>
      <c r="J223" s="12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spans="1:22" customFormat="1" x14ac:dyDescent="0.3">
      <c r="A224" s="3">
        <v>2058</v>
      </c>
      <c r="B224" s="11" t="s">
        <v>519</v>
      </c>
      <c r="C224" s="11"/>
      <c r="D224" s="11"/>
      <c r="E224" s="11" t="s">
        <v>520</v>
      </c>
      <c r="F224" s="11" t="s">
        <v>521</v>
      </c>
      <c r="G224" s="5"/>
      <c r="H224" s="12" t="s">
        <v>522</v>
      </c>
      <c r="I224" s="8" t="s">
        <v>43</v>
      </c>
      <c r="J224" s="12" t="s">
        <v>523</v>
      </c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spans="1:28" customFormat="1" x14ac:dyDescent="0.3">
      <c r="A225" s="3">
        <v>2059</v>
      </c>
      <c r="B225" s="11" t="s">
        <v>524</v>
      </c>
      <c r="C225" s="11"/>
      <c r="D225" s="11"/>
      <c r="E225" s="11" t="s">
        <v>532</v>
      </c>
      <c r="F225" s="11" t="s">
        <v>525</v>
      </c>
      <c r="G225" s="5"/>
      <c r="H225" s="12" t="s">
        <v>526</v>
      </c>
      <c r="I225" s="8" t="s">
        <v>43</v>
      </c>
      <c r="J225" s="12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spans="1:28" customFormat="1" x14ac:dyDescent="0.3">
      <c r="A226" s="3">
        <v>2060</v>
      </c>
      <c r="B226" s="11" t="s">
        <v>527</v>
      </c>
      <c r="C226" s="11"/>
      <c r="D226" s="11"/>
      <c r="E226" s="11" t="s">
        <v>528</v>
      </c>
      <c r="F226" s="11" t="s">
        <v>529</v>
      </c>
      <c r="G226" s="5"/>
      <c r="H226" s="12" t="s">
        <v>530</v>
      </c>
      <c r="I226" s="8" t="s">
        <v>43</v>
      </c>
      <c r="J226" s="12" t="s">
        <v>531</v>
      </c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:28" s="2" customFormat="1" x14ac:dyDescent="0.3">
      <c r="A227" s="2" t="s">
        <v>474</v>
      </c>
      <c r="B227" s="15"/>
      <c r="C227" s="15"/>
      <c r="D227" s="15"/>
      <c r="E227" s="15"/>
      <c r="F227" s="15"/>
      <c r="G227" s="15"/>
      <c r="H227" s="15"/>
    </row>
    <row r="228" spans="1:28" x14ac:dyDescent="0.3">
      <c r="A228" s="3">
        <v>4001</v>
      </c>
      <c r="B228" s="4" t="s">
        <v>348</v>
      </c>
      <c r="C228" s="5" t="s">
        <v>25</v>
      </c>
      <c r="D228" s="5" t="s">
        <v>25</v>
      </c>
      <c r="E228" s="8" t="str">
        <f>IF(INDEX(R$8:R$111,MATCH($B228,$Q$8:$Q$111,0))=0,"",INDEX(R$8:R$111,MATCH($B228,$Q$8:$Q$111,0)))</f>
        <v>ui_s1_fight_km_name_jianyuqishe</v>
      </c>
      <c r="F228" s="8" t="str">
        <f>IF(INDEX(S$8:S$105,MATCH($B228,$Q$8:$Q$105,0))=0,"",INDEX(S$8:S$105,MATCH($B228,$Q$8:$Q$105,0)))</f>
        <v>ui_s1_fight_card1_tu_wjqf</v>
      </c>
      <c r="G228" s="3"/>
      <c r="H228" s="8" t="s">
        <v>475</v>
      </c>
      <c r="I228" s="8" t="str">
        <f>IF(INDEX(U$8:U$111,MATCH($B228,$Q$8:$Q$111,0))=0,"",INDEX(U$8:U$111,MATCH($B228,$Q$8:$Q$111,0)))</f>
        <v>AudioNull</v>
      </c>
      <c r="J228" s="8"/>
      <c r="X228" s="18"/>
      <c r="Y228" s="18"/>
      <c r="Z228" s="4"/>
      <c r="AA228" s="4"/>
      <c r="AB228" s="4"/>
    </row>
    <row r="229" spans="1:28" x14ac:dyDescent="0.3">
      <c r="A229" s="3">
        <v>4002</v>
      </c>
      <c r="B229" s="4" t="s">
        <v>27</v>
      </c>
      <c r="C229" s="5" t="s">
        <v>25</v>
      </c>
      <c r="D229" s="5" t="s">
        <v>28</v>
      </c>
      <c r="E229" s="8" t="str">
        <f>IF(INDEX(R$8:R$111,MATCH($B229,$Q$8:$Q$111,0))=0,"",INDEX(R$8:R$111,MATCH($B229,$Q$8:$Q$111,0)))</f>
        <v>ui_s1_fight_km_name_lyq</v>
      </c>
      <c r="F229" s="8" t="str">
        <f>IF(INDEX(S$8:S$111,MATCH($B229,$Q$8:$Q$111,0))=0,"",INDEX(S$8:S$111,MATCH($B229,$Q$8:$Q$111,0)))</f>
        <v>ui_s1_fight_card1_tu_liangyinqiang</v>
      </c>
      <c r="G229" s="3"/>
      <c r="H229" s="8" t="s">
        <v>29</v>
      </c>
      <c r="I229" s="8" t="str">
        <f t="shared" ref="I229:I292" si="24">IF(INDEX(U$8:U$111,MATCH($B229,$Q$8:$Q$111,0))=0,"",INDEX(U$8:U$111,MATCH($B229,$Q$8:$Q$111,0)))</f>
        <v>AudioNull</v>
      </c>
      <c r="J229" s="8" t="str">
        <f>IF(INDEX(V$8:V$111,MATCH($B229,$Q$8:$Q$111,0))=0,"",INDEX(V$8:V$111,MATCH($B229,$Q$8:$Q$111,0)))</f>
        <v>ui_s1_fight_zhuangbei_012_liangyinqiang</v>
      </c>
      <c r="X229" s="18"/>
      <c r="Y229" s="18"/>
      <c r="Z229" s="4"/>
      <c r="AA229" s="4"/>
      <c r="AB229" s="4"/>
    </row>
    <row r="230" spans="1:28" x14ac:dyDescent="0.3">
      <c r="A230" s="3">
        <v>4003</v>
      </c>
      <c r="B230" s="11" t="s">
        <v>30</v>
      </c>
      <c r="C230" s="5" t="s">
        <v>25</v>
      </c>
      <c r="D230" s="5" t="s">
        <v>31</v>
      </c>
      <c r="E230" s="8" t="str">
        <f>IF(INDEX(R$8:R$111,MATCH($B230,$Q$8:$Q$111,0))=0,"",INDEX(R$8:R$111,MATCH($B230,$Q$8:$Q$111,0)))</f>
        <v>ui_s1_fight_km_chongsha</v>
      </c>
      <c r="F230" s="8" t="str">
        <f>IF(INDEX(S$8:S$111,MATCH($B230,$Q$8:$Q$111,0))=0,"",INDEX(S$8:S$111,MATCH($B230,$Q$8:$Q$111,0)))</f>
        <v>ui_s1_fight_card1_tu_sha</v>
      </c>
      <c r="G230" s="3"/>
      <c r="H230" s="8" t="s">
        <v>30</v>
      </c>
      <c r="I230" s="8" t="str">
        <f t="shared" si="24"/>
        <v>AudioNull</v>
      </c>
      <c r="J230" s="8" t="str">
        <f t="shared" ref="J230:J293" si="25">IF(INDEX(V$8:V$111,MATCH($B230,$Q$8:$Q$111,0))=0,"",INDEX(V$8:V$111,MATCH($B230,$Q$8:$Q$111,0)))</f>
        <v/>
      </c>
      <c r="N230" s="4"/>
      <c r="R230" s="4"/>
      <c r="X230" s="18"/>
      <c r="Y230" s="18"/>
      <c r="Z230" s="4"/>
      <c r="AA230" s="4"/>
      <c r="AB230" s="4"/>
    </row>
    <row r="231" spans="1:28" x14ac:dyDescent="0.3">
      <c r="A231" s="3">
        <v>4004</v>
      </c>
      <c r="B231" s="4" t="s">
        <v>32</v>
      </c>
      <c r="C231" s="5" t="s">
        <v>25</v>
      </c>
      <c r="D231" s="5" t="s">
        <v>33</v>
      </c>
      <c r="E231" s="8" t="str">
        <f>IF(INDEX(R$8:R$111,MATCH($B231,$Q$8:$Q$111,0))=0,"",INDEX(R$8:R$111,MATCH($B231,$Q$8:$Q$111,0)))</f>
        <v>ui_s1_fight_km_name_qlyyd</v>
      </c>
      <c r="F231" s="8" t="str">
        <f t="shared" ref="F231:F294" si="26">IF(INDEX(S$8:S$111,MATCH($B231,$Q$8:$Q$111,0))=0,"",INDEX(S$8:S$111,MATCH($B231,$Q$8:$Q$111,0)))</f>
        <v>ui_s1_fight_card1_tu_qinglongyanyuedao</v>
      </c>
      <c r="G231" s="3"/>
      <c r="H231" s="8" t="s">
        <v>34</v>
      </c>
      <c r="I231" s="8" t="str">
        <f t="shared" si="24"/>
        <v>AudioNull</v>
      </c>
      <c r="J231" s="8" t="str">
        <f t="shared" si="25"/>
        <v>ui_s1_fight_zhuangbei_008_qinglongyanyuedao</v>
      </c>
      <c r="X231" s="18"/>
      <c r="Y231" s="18"/>
      <c r="Z231" s="4"/>
      <c r="AA231" s="4"/>
      <c r="AB231" s="4"/>
    </row>
    <row r="232" spans="1:28" x14ac:dyDescent="0.3">
      <c r="A232" s="3">
        <v>4005</v>
      </c>
      <c r="B232" s="4" t="s">
        <v>38</v>
      </c>
      <c r="C232" s="5" t="s">
        <v>25</v>
      </c>
      <c r="D232" s="5" t="s">
        <v>39</v>
      </c>
      <c r="E232" s="8" t="str">
        <f t="shared" ref="E232:E294" si="27">IF(INDEX(R$8:R$111,MATCH($B232,$Q$8:$Q$111,0))=0,"",INDEX(R$8:R$111,MATCH($B232,$Q$8:$Q$111,0)))</f>
        <v>ui_s1_fight_km_name_zqdj</v>
      </c>
      <c r="F232" s="8" t="str">
        <f t="shared" si="26"/>
        <v>ui_s1_fight_card1_tu_tongyong_zhenqianduijue</v>
      </c>
      <c r="G232" s="3"/>
      <c r="H232" s="8" t="s">
        <v>40</v>
      </c>
      <c r="I232" s="8" t="str">
        <f t="shared" si="24"/>
        <v>AudioNull</v>
      </c>
      <c r="J232" s="8" t="str">
        <f t="shared" si="25"/>
        <v/>
      </c>
      <c r="X232" s="18"/>
      <c r="Y232" s="18"/>
      <c r="Z232" s="4"/>
      <c r="AA232" s="4"/>
      <c r="AB232" s="4"/>
    </row>
    <row r="233" spans="1:28" x14ac:dyDescent="0.3">
      <c r="A233" s="3">
        <v>4006</v>
      </c>
      <c r="B233" s="4" t="s">
        <v>371</v>
      </c>
      <c r="C233" s="5" t="s">
        <v>25</v>
      </c>
      <c r="D233" s="5" t="s">
        <v>46</v>
      </c>
      <c r="E233" s="8" t="str">
        <f t="shared" si="27"/>
        <v>ui_s1_fight_km_name_diaobingqianjiang</v>
      </c>
      <c r="F233" s="8" t="str">
        <f t="shared" si="26"/>
        <v>ui_s1_fight_card1_tu_diaobingqianjiang</v>
      </c>
      <c r="G233" s="3"/>
      <c r="H233" s="12" t="s">
        <v>450</v>
      </c>
      <c r="I233" s="8" t="str">
        <f t="shared" si="24"/>
        <v>AudioNull</v>
      </c>
      <c r="J233" s="8" t="str">
        <f t="shared" si="25"/>
        <v/>
      </c>
      <c r="N233" s="4"/>
      <c r="R233" s="4"/>
      <c r="X233" s="18"/>
      <c r="Y233" s="18"/>
      <c r="Z233" s="4"/>
      <c r="AA233" s="4"/>
      <c r="AB233" s="4"/>
    </row>
    <row r="234" spans="1:28" x14ac:dyDescent="0.3">
      <c r="A234" s="3">
        <v>4007</v>
      </c>
      <c r="B234" s="4" t="s">
        <v>350</v>
      </c>
      <c r="C234" s="5" t="s">
        <v>25</v>
      </c>
      <c r="D234" s="5" t="s">
        <v>51</v>
      </c>
      <c r="E234" s="8" t="str">
        <f t="shared" si="27"/>
        <v>ui_s1_fight_km_name_lianhuan</v>
      </c>
      <c r="F234" s="8" t="str">
        <f t="shared" si="26"/>
        <v>ui_s1_fight_card1_tu_tslz</v>
      </c>
      <c r="G234" s="3"/>
      <c r="H234" s="8" t="s">
        <v>155</v>
      </c>
      <c r="I234" s="8" t="str">
        <f t="shared" si="24"/>
        <v>AudioNull</v>
      </c>
      <c r="J234" s="8" t="str">
        <f t="shared" si="25"/>
        <v/>
      </c>
      <c r="X234" s="18"/>
      <c r="Y234" s="18"/>
      <c r="Z234" s="4"/>
      <c r="AA234" s="4"/>
      <c r="AB234" s="4"/>
    </row>
    <row r="235" spans="1:28" x14ac:dyDescent="0.3">
      <c r="A235" s="3">
        <v>4008</v>
      </c>
      <c r="B235" s="4" t="s">
        <v>56</v>
      </c>
      <c r="C235" s="5" t="s">
        <v>25</v>
      </c>
      <c r="D235" s="5" t="s">
        <v>57</v>
      </c>
      <c r="E235" s="8" t="str">
        <f t="shared" si="27"/>
        <v>ui_s1_fight_km_name_ksf</v>
      </c>
      <c r="F235" s="8" t="str">
        <f t="shared" si="26"/>
        <v>ui_s1_fight_card1_tu_kaitianfu</v>
      </c>
      <c r="G235" s="3"/>
      <c r="H235" s="8" t="s">
        <v>58</v>
      </c>
      <c r="I235" s="8" t="str">
        <f t="shared" si="24"/>
        <v>AudioNull</v>
      </c>
      <c r="J235" s="8" t="str">
        <f t="shared" si="25"/>
        <v>ui_s1_fight_zhuangbei_002_kaishanfu</v>
      </c>
      <c r="X235" s="18"/>
      <c r="Y235" s="18"/>
      <c r="Z235" s="4"/>
      <c r="AA235" s="4"/>
      <c r="AB235" s="4"/>
    </row>
    <row r="236" spans="1:28" x14ac:dyDescent="0.3">
      <c r="A236" s="3">
        <v>4009</v>
      </c>
      <c r="B236" s="4" t="s">
        <v>61</v>
      </c>
      <c r="C236" s="5" t="s">
        <v>25</v>
      </c>
      <c r="D236" s="5" t="s">
        <v>25</v>
      </c>
      <c r="E236" s="8" t="str">
        <f t="shared" si="27"/>
        <v>ui_s1_fight_km_name_xyj</v>
      </c>
      <c r="F236" s="8" t="str">
        <f t="shared" si="26"/>
        <v>ui_s1_fight_card1_tu_xuanyuanjian</v>
      </c>
      <c r="G236" s="3"/>
      <c r="H236" s="8" t="s">
        <v>62</v>
      </c>
      <c r="I236" s="8" t="str">
        <f t="shared" si="24"/>
        <v>AudioNull</v>
      </c>
      <c r="J236" s="8" t="str">
        <f t="shared" si="25"/>
        <v>ui_s1_fight_zhuangbei_001_xuanyuanjian</v>
      </c>
      <c r="X236" s="18"/>
      <c r="Y236" s="18"/>
      <c r="Z236" s="4"/>
      <c r="AA236" s="4"/>
      <c r="AB236" s="4"/>
    </row>
    <row r="237" spans="1:28" x14ac:dyDescent="0.3">
      <c r="A237" s="3">
        <v>4010</v>
      </c>
      <c r="B237" s="11" t="s">
        <v>30</v>
      </c>
      <c r="C237" s="5" t="s">
        <v>25</v>
      </c>
      <c r="D237" s="5" t="s">
        <v>28</v>
      </c>
      <c r="E237" s="8" t="str">
        <f t="shared" si="27"/>
        <v>ui_s1_fight_km_chongsha</v>
      </c>
      <c r="F237" s="8" t="str">
        <f t="shared" si="26"/>
        <v>ui_s1_fight_card1_tu_sha</v>
      </c>
      <c r="G237" s="3"/>
      <c r="H237" s="8" t="s">
        <v>30</v>
      </c>
      <c r="I237" s="8" t="str">
        <f t="shared" si="24"/>
        <v>AudioNull</v>
      </c>
      <c r="J237" s="8" t="str">
        <f t="shared" si="25"/>
        <v/>
      </c>
      <c r="N237" s="4"/>
      <c r="R237" s="4"/>
      <c r="X237" s="18"/>
      <c r="Y237" s="18"/>
      <c r="Z237" s="4"/>
      <c r="AA237" s="4"/>
      <c r="AB237" s="4"/>
    </row>
    <row r="238" spans="1:28" x14ac:dyDescent="0.3">
      <c r="A238" s="3">
        <v>4011</v>
      </c>
      <c r="B238" s="11" t="s">
        <v>30</v>
      </c>
      <c r="C238" s="5" t="s">
        <v>25</v>
      </c>
      <c r="D238" s="5" t="s">
        <v>31</v>
      </c>
      <c r="E238" s="8" t="str">
        <f t="shared" si="27"/>
        <v>ui_s1_fight_km_chongsha</v>
      </c>
      <c r="F238" s="8" t="str">
        <f t="shared" si="26"/>
        <v>ui_s1_fight_card1_tu_sha</v>
      </c>
      <c r="G238" s="3"/>
      <c r="H238" s="8" t="s">
        <v>30</v>
      </c>
      <c r="I238" s="8" t="str">
        <f t="shared" si="24"/>
        <v>AudioNull</v>
      </c>
      <c r="J238" s="8" t="str">
        <f t="shared" si="25"/>
        <v/>
      </c>
      <c r="N238" s="4"/>
      <c r="R238" s="4"/>
      <c r="X238" s="18"/>
      <c r="Y238" s="18"/>
      <c r="Z238" s="4"/>
      <c r="AA238" s="4"/>
      <c r="AB238" s="4"/>
    </row>
    <row r="239" spans="1:28" x14ac:dyDescent="0.3">
      <c r="A239" s="3">
        <v>4012</v>
      </c>
      <c r="B239" s="11" t="s">
        <v>380</v>
      </c>
      <c r="C239" s="5" t="s">
        <v>25</v>
      </c>
      <c r="D239" s="5" t="s">
        <v>33</v>
      </c>
      <c r="E239" s="8" t="str">
        <f t="shared" si="27"/>
        <v>ui_s1_fight_km_leishai</v>
      </c>
      <c r="F239" s="8" t="str">
        <f t="shared" si="26"/>
        <v>ui_s1_fight_card1_tu_sha</v>
      </c>
      <c r="G239" s="3"/>
      <c r="H239" s="8" t="s">
        <v>30</v>
      </c>
      <c r="I239" s="8" t="str">
        <f t="shared" si="24"/>
        <v>AudioNull</v>
      </c>
      <c r="J239" s="8" t="str">
        <f t="shared" si="25"/>
        <v/>
      </c>
      <c r="N239" s="4"/>
      <c r="R239" s="4"/>
      <c r="X239" s="18"/>
      <c r="Y239" s="18"/>
      <c r="Z239" s="4"/>
      <c r="AA239" s="4"/>
      <c r="AB239" s="4"/>
    </row>
    <row r="240" spans="1:28" x14ac:dyDescent="0.3">
      <c r="A240" s="3">
        <v>4013</v>
      </c>
      <c r="B240" s="4" t="s">
        <v>38</v>
      </c>
      <c r="C240" s="5" t="s">
        <v>25</v>
      </c>
      <c r="D240" s="5" t="s">
        <v>39</v>
      </c>
      <c r="E240" s="8" t="str">
        <f t="shared" si="27"/>
        <v>ui_s1_fight_km_name_zqdj</v>
      </c>
      <c r="F240" s="8" t="str">
        <f t="shared" si="26"/>
        <v>ui_s1_fight_card1_tu_tongyong_zhenqianduijue</v>
      </c>
      <c r="G240" s="3"/>
      <c r="H240" s="8" t="s">
        <v>40</v>
      </c>
      <c r="I240" s="8" t="str">
        <f t="shared" si="24"/>
        <v>AudioNull</v>
      </c>
      <c r="J240" s="8" t="str">
        <f t="shared" si="25"/>
        <v/>
      </c>
      <c r="X240" s="18"/>
      <c r="Y240" s="18"/>
      <c r="Z240" s="4"/>
      <c r="AA240" s="4"/>
      <c r="AB240" s="4"/>
    </row>
    <row r="241" spans="1:28" x14ac:dyDescent="0.3">
      <c r="A241" s="3">
        <v>4014</v>
      </c>
      <c r="B241" s="4" t="s">
        <v>371</v>
      </c>
      <c r="C241" s="5" t="s">
        <v>25</v>
      </c>
      <c r="D241" s="5" t="s">
        <v>46</v>
      </c>
      <c r="E241" s="8" t="str">
        <f t="shared" si="27"/>
        <v>ui_s1_fight_km_name_diaobingqianjiang</v>
      </c>
      <c r="F241" s="8" t="str">
        <f t="shared" si="26"/>
        <v>ui_s1_fight_card1_tu_diaobingqianjiang</v>
      </c>
      <c r="G241" s="3"/>
      <c r="H241" s="12" t="s">
        <v>450</v>
      </c>
      <c r="I241" s="8" t="str">
        <f t="shared" si="24"/>
        <v>AudioNull</v>
      </c>
      <c r="J241" s="8" t="str">
        <f t="shared" si="25"/>
        <v/>
      </c>
      <c r="N241" s="4"/>
      <c r="R241" s="4"/>
      <c r="X241" s="18"/>
      <c r="Y241" s="18"/>
      <c r="Z241" s="4"/>
      <c r="AA241" s="4"/>
      <c r="AB241" s="4"/>
    </row>
    <row r="242" spans="1:28" x14ac:dyDescent="0.3">
      <c r="A242" s="3">
        <v>4015</v>
      </c>
      <c r="B242" s="4" t="s">
        <v>350</v>
      </c>
      <c r="C242" s="5" t="s">
        <v>25</v>
      </c>
      <c r="D242" s="5" t="s">
        <v>51</v>
      </c>
      <c r="E242" s="8" t="str">
        <f t="shared" si="27"/>
        <v>ui_s1_fight_km_name_lianhuan</v>
      </c>
      <c r="F242" s="8" t="str">
        <f t="shared" si="26"/>
        <v>ui_s1_fight_card1_tu_tslz</v>
      </c>
      <c r="G242" s="3"/>
      <c r="H242" s="8" t="s">
        <v>155</v>
      </c>
      <c r="I242" s="8" t="str">
        <f t="shared" si="24"/>
        <v>AudioNull</v>
      </c>
      <c r="J242" s="8" t="str">
        <f t="shared" si="25"/>
        <v/>
      </c>
      <c r="X242" s="18"/>
      <c r="Y242" s="18"/>
      <c r="Z242" s="4"/>
      <c r="AA242" s="4"/>
      <c r="AB242" s="4"/>
    </row>
    <row r="243" spans="1:28" x14ac:dyDescent="0.3">
      <c r="A243" s="3">
        <v>4016</v>
      </c>
      <c r="B243" s="4" t="s">
        <v>74</v>
      </c>
      <c r="C243" s="5" t="s">
        <v>25</v>
      </c>
      <c r="D243" s="5" t="s">
        <v>57</v>
      </c>
      <c r="E243" s="8" t="str">
        <f t="shared" si="27"/>
        <v>ui_s1_fight_km_mhd</v>
      </c>
      <c r="F243" s="8" t="str">
        <f t="shared" si="26"/>
        <v>ui_s1_fight_card1_tu_tongyong_minghongdao</v>
      </c>
      <c r="G243" s="3"/>
      <c r="H243" s="8" t="s">
        <v>82</v>
      </c>
      <c r="I243" s="8" t="str">
        <f t="shared" si="24"/>
        <v>AudioNull</v>
      </c>
      <c r="J243" s="8" t="str">
        <f t="shared" si="25"/>
        <v>ui_s1_fight_zhuangbei_003_minghongdao</v>
      </c>
      <c r="X243" s="18"/>
      <c r="Y243" s="18"/>
      <c r="Z243" s="4"/>
      <c r="AA243" s="4"/>
      <c r="AB243" s="4"/>
    </row>
    <row r="244" spans="1:28" x14ac:dyDescent="0.3">
      <c r="A244" s="3">
        <v>4017</v>
      </c>
      <c r="B244" s="4" t="s">
        <v>78</v>
      </c>
      <c r="C244" s="5" t="s">
        <v>25</v>
      </c>
      <c r="D244" s="5" t="s">
        <v>25</v>
      </c>
      <c r="E244" s="8" t="str">
        <f t="shared" si="27"/>
        <v>ui_s1_fight_km_name_fthj</v>
      </c>
      <c r="F244" s="8" t="str">
        <f t="shared" si="26"/>
        <v>ui_s1_fight_card1_tu_fangtianhuaji</v>
      </c>
      <c r="G244" s="3"/>
      <c r="H244" s="8" t="s">
        <v>87</v>
      </c>
      <c r="I244" s="8" t="str">
        <f t="shared" si="24"/>
        <v>AudioNull</v>
      </c>
      <c r="J244" s="8" t="str">
        <f t="shared" si="25"/>
        <v>ui_s1_fight_zhuangbei_007_fangtianhuaji</v>
      </c>
      <c r="X244" s="18"/>
      <c r="Y244" s="18"/>
      <c r="Z244" s="4"/>
      <c r="AA244" s="4"/>
      <c r="AB244" s="4"/>
    </row>
    <row r="245" spans="1:28" x14ac:dyDescent="0.3">
      <c r="A245" s="3">
        <v>4018</v>
      </c>
      <c r="B245" s="4" t="s">
        <v>83</v>
      </c>
      <c r="C245" s="5" t="s">
        <v>25</v>
      </c>
      <c r="D245" s="5" t="s">
        <v>28</v>
      </c>
      <c r="E245" s="8" t="str">
        <f t="shared" si="27"/>
        <v>ui_s1_fight_km_name_gjmy</v>
      </c>
      <c r="F245" s="8" t="str">
        <f t="shared" si="26"/>
        <v>ui_s1_fight_card1_tu_ganjiangmoye</v>
      </c>
      <c r="G245" s="3"/>
      <c r="H245" s="8" t="s">
        <v>92</v>
      </c>
      <c r="I245" s="8" t="str">
        <f t="shared" si="24"/>
        <v>AudioNull</v>
      </c>
      <c r="J245" s="8" t="str">
        <f t="shared" si="25"/>
        <v>ui_s1_fight_zhuangbei_006_ganjiangmoye</v>
      </c>
      <c r="X245" s="18"/>
      <c r="Y245" s="18"/>
      <c r="Z245" s="4"/>
      <c r="AA245" s="4"/>
      <c r="AB245" s="4"/>
    </row>
    <row r="246" spans="1:28" x14ac:dyDescent="0.3">
      <c r="A246" s="3">
        <v>4019</v>
      </c>
      <c r="B246" s="11" t="s">
        <v>30</v>
      </c>
      <c r="C246" s="5" t="s">
        <v>25</v>
      </c>
      <c r="D246" s="5" t="s">
        <v>31</v>
      </c>
      <c r="E246" s="8" t="str">
        <f t="shared" si="27"/>
        <v>ui_s1_fight_km_chongsha</v>
      </c>
      <c r="F246" s="8" t="str">
        <f t="shared" si="26"/>
        <v>ui_s1_fight_card1_tu_sha</v>
      </c>
      <c r="G246" s="3"/>
      <c r="H246" s="8" t="s">
        <v>30</v>
      </c>
      <c r="I246" s="8" t="str">
        <f t="shared" si="24"/>
        <v>AudioNull</v>
      </c>
      <c r="J246" s="8" t="str">
        <f t="shared" si="25"/>
        <v/>
      </c>
      <c r="N246" s="4"/>
      <c r="R246" s="4"/>
      <c r="X246" s="18"/>
      <c r="Y246" s="18"/>
      <c r="Z246" s="4"/>
      <c r="AA246" s="4"/>
      <c r="AB246" s="4"/>
    </row>
    <row r="247" spans="1:28" x14ac:dyDescent="0.3">
      <c r="A247" s="3">
        <v>4020</v>
      </c>
      <c r="B247" s="11" t="s">
        <v>380</v>
      </c>
      <c r="C247" s="5" t="s">
        <v>25</v>
      </c>
      <c r="D247" s="5" t="s">
        <v>33</v>
      </c>
      <c r="E247" s="8" t="str">
        <f t="shared" si="27"/>
        <v>ui_s1_fight_km_leishai</v>
      </c>
      <c r="F247" s="8" t="str">
        <f t="shared" si="26"/>
        <v>ui_s1_fight_card1_tu_sha</v>
      </c>
      <c r="G247" s="3"/>
      <c r="H247" s="8" t="s">
        <v>30</v>
      </c>
      <c r="I247" s="8" t="str">
        <f t="shared" si="24"/>
        <v>AudioNull</v>
      </c>
      <c r="J247" s="8" t="str">
        <f t="shared" si="25"/>
        <v/>
      </c>
      <c r="N247" s="4"/>
      <c r="R247" s="4"/>
      <c r="X247" s="18"/>
      <c r="Y247" s="18"/>
      <c r="Z247" s="4"/>
      <c r="AA247" s="4"/>
      <c r="AB247" s="4"/>
    </row>
    <row r="248" spans="1:28" x14ac:dyDescent="0.3">
      <c r="A248" s="3">
        <v>4021</v>
      </c>
      <c r="B248" s="4" t="s">
        <v>38</v>
      </c>
      <c r="C248" s="5" t="s">
        <v>25</v>
      </c>
      <c r="D248" s="5" t="s">
        <v>39</v>
      </c>
      <c r="E248" s="8" t="str">
        <f t="shared" si="27"/>
        <v>ui_s1_fight_km_name_zqdj</v>
      </c>
      <c r="F248" s="8" t="str">
        <f t="shared" si="26"/>
        <v>ui_s1_fight_card1_tu_tongyong_zhenqianduijue</v>
      </c>
      <c r="G248" s="3"/>
      <c r="H248" s="8" t="s">
        <v>40</v>
      </c>
      <c r="I248" s="8" t="str">
        <f t="shared" si="24"/>
        <v>AudioNull</v>
      </c>
      <c r="J248" s="8" t="str">
        <f t="shared" si="25"/>
        <v/>
      </c>
      <c r="X248" s="18"/>
      <c r="Y248" s="18"/>
      <c r="Z248" s="4"/>
      <c r="AA248" s="4"/>
      <c r="AB248" s="4"/>
    </row>
    <row r="249" spans="1:28" x14ac:dyDescent="0.3">
      <c r="A249" s="3">
        <v>4022</v>
      </c>
      <c r="B249" s="11" t="s">
        <v>30</v>
      </c>
      <c r="C249" s="5" t="s">
        <v>25</v>
      </c>
      <c r="D249" s="5" t="s">
        <v>46</v>
      </c>
      <c r="E249" s="8" t="str">
        <f t="shared" si="27"/>
        <v>ui_s1_fight_km_chongsha</v>
      </c>
      <c r="F249" s="8" t="str">
        <f t="shared" si="26"/>
        <v>ui_s1_fight_card1_tu_sha</v>
      </c>
      <c r="G249" s="3"/>
      <c r="H249" s="8" t="s">
        <v>30</v>
      </c>
      <c r="I249" s="8" t="str">
        <f t="shared" si="24"/>
        <v>AudioNull</v>
      </c>
      <c r="J249" s="8" t="str">
        <f t="shared" si="25"/>
        <v/>
      </c>
      <c r="N249" s="4"/>
      <c r="R249" s="4"/>
      <c r="X249" s="18"/>
      <c r="Y249" s="18"/>
      <c r="Z249" s="4"/>
      <c r="AA249" s="4"/>
      <c r="AB249" s="4"/>
    </row>
    <row r="250" spans="1:28" x14ac:dyDescent="0.3">
      <c r="A250" s="3">
        <v>4023</v>
      </c>
      <c r="B250" s="4" t="s">
        <v>350</v>
      </c>
      <c r="C250" s="5" t="s">
        <v>25</v>
      </c>
      <c r="D250" s="5" t="s">
        <v>51</v>
      </c>
      <c r="E250" s="8" t="str">
        <f t="shared" si="27"/>
        <v>ui_s1_fight_km_name_lianhuan</v>
      </c>
      <c r="F250" s="8" t="str">
        <f t="shared" si="26"/>
        <v>ui_s1_fight_card1_tu_tslz</v>
      </c>
      <c r="G250" s="3"/>
      <c r="H250" s="8" t="s">
        <v>155</v>
      </c>
      <c r="I250" s="8" t="str">
        <f t="shared" si="24"/>
        <v>AudioNull</v>
      </c>
      <c r="J250" s="8" t="str">
        <f t="shared" si="25"/>
        <v/>
      </c>
      <c r="X250" s="18"/>
      <c r="Y250" s="18"/>
      <c r="Z250" s="4"/>
      <c r="AA250" s="4"/>
      <c r="AB250" s="4"/>
    </row>
    <row r="251" spans="1:28" x14ac:dyDescent="0.3">
      <c r="A251" s="3">
        <v>4024</v>
      </c>
      <c r="B251" s="11" t="s">
        <v>30</v>
      </c>
      <c r="C251" s="5" t="s">
        <v>25</v>
      </c>
      <c r="D251" s="5" t="s">
        <v>57</v>
      </c>
      <c r="E251" s="8" t="str">
        <f t="shared" si="27"/>
        <v>ui_s1_fight_km_chongsha</v>
      </c>
      <c r="F251" s="8" t="str">
        <f t="shared" si="26"/>
        <v>ui_s1_fight_card1_tu_sha</v>
      </c>
      <c r="G251" s="3"/>
      <c r="H251" s="8" t="s">
        <v>30</v>
      </c>
      <c r="I251" s="8" t="str">
        <f t="shared" si="24"/>
        <v>AudioNull</v>
      </c>
      <c r="J251" s="8" t="str">
        <f t="shared" si="25"/>
        <v/>
      </c>
      <c r="N251" s="4"/>
      <c r="R251" s="4"/>
      <c r="X251" s="18"/>
      <c r="Y251" s="18"/>
      <c r="Z251" s="4"/>
      <c r="AA251" s="4"/>
      <c r="AB251" s="4"/>
    </row>
    <row r="252" spans="1:28" x14ac:dyDescent="0.3">
      <c r="A252" s="3">
        <v>4025</v>
      </c>
      <c r="B252" s="16" t="s">
        <v>119</v>
      </c>
      <c r="C252" s="5" t="s">
        <v>25</v>
      </c>
      <c r="D252" s="5" t="s">
        <v>25</v>
      </c>
      <c r="E252" s="8" t="str">
        <f t="shared" si="27"/>
        <v>ui_s1_fight_km_name_ysk</v>
      </c>
      <c r="F252" s="8" t="str">
        <f t="shared" si="26"/>
        <v>ui_s1_fight_card1_tu_yinshikui</v>
      </c>
      <c r="G252" s="3"/>
      <c r="H252" s="8" t="s">
        <v>120</v>
      </c>
      <c r="I252" s="8" t="str">
        <f t="shared" si="24"/>
        <v>AudioNull</v>
      </c>
      <c r="J252" s="8" t="str">
        <f t="shared" si="25"/>
        <v>ui_s1_fight_zhuangbei_018_yinshikui</v>
      </c>
      <c r="X252" s="18"/>
      <c r="Y252" s="18"/>
      <c r="Z252" s="4"/>
      <c r="AA252" s="4"/>
      <c r="AB252" s="4"/>
    </row>
    <row r="253" spans="1:28" x14ac:dyDescent="0.3">
      <c r="A253" s="3">
        <v>4026</v>
      </c>
      <c r="B253" s="4" t="s">
        <v>93</v>
      </c>
      <c r="C253" s="5" t="s">
        <v>25</v>
      </c>
      <c r="D253" s="5" t="s">
        <v>28</v>
      </c>
      <c r="E253" s="8" t="str">
        <f t="shared" si="27"/>
        <v>ui_s1_fight_km_name_zbsm</v>
      </c>
      <c r="F253" s="8" t="str">
        <f t="shared" si="26"/>
        <v>ui_s1_fight_card1_tu_zhangbashemao</v>
      </c>
      <c r="G253" s="3"/>
      <c r="H253" s="8" t="s">
        <v>124</v>
      </c>
      <c r="I253" s="8" t="str">
        <f t="shared" si="24"/>
        <v>AudioNull</v>
      </c>
      <c r="J253" s="8" t="str">
        <f t="shared" si="25"/>
        <v>ui_s1_fight_zhuangbei_009_zhangbashemao</v>
      </c>
      <c r="X253" s="18"/>
      <c r="Y253" s="18"/>
      <c r="Z253" s="4"/>
      <c r="AA253" s="4"/>
      <c r="AB253" s="4"/>
    </row>
    <row r="254" spans="1:28" x14ac:dyDescent="0.3">
      <c r="A254" s="3">
        <v>4027</v>
      </c>
      <c r="B254" s="11" t="s">
        <v>30</v>
      </c>
      <c r="C254" s="5" t="s">
        <v>25</v>
      </c>
      <c r="D254" s="5" t="s">
        <v>31</v>
      </c>
      <c r="E254" s="8" t="str">
        <f t="shared" si="27"/>
        <v>ui_s1_fight_km_chongsha</v>
      </c>
      <c r="F254" s="8" t="str">
        <f t="shared" si="26"/>
        <v>ui_s1_fight_card1_tu_sha</v>
      </c>
      <c r="G254" s="3"/>
      <c r="H254" s="8" t="s">
        <v>30</v>
      </c>
      <c r="I254" s="8" t="str">
        <f t="shared" si="24"/>
        <v>AudioNull</v>
      </c>
      <c r="J254" s="8" t="str">
        <f t="shared" si="25"/>
        <v/>
      </c>
      <c r="N254" s="4"/>
      <c r="X254" s="18"/>
      <c r="Y254" s="18"/>
      <c r="Z254" s="4"/>
      <c r="AA254" s="4"/>
      <c r="AB254" s="4"/>
    </row>
    <row r="255" spans="1:28" x14ac:dyDescent="0.3">
      <c r="A255" s="3">
        <v>4028</v>
      </c>
      <c r="B255" s="11" t="s">
        <v>380</v>
      </c>
      <c r="C255" s="5" t="s">
        <v>25</v>
      </c>
      <c r="D255" s="5" t="s">
        <v>33</v>
      </c>
      <c r="E255" s="8" t="str">
        <f t="shared" si="27"/>
        <v>ui_s1_fight_km_leishai</v>
      </c>
      <c r="F255" s="8" t="str">
        <f t="shared" si="26"/>
        <v>ui_s1_fight_card1_tu_sha</v>
      </c>
      <c r="G255" s="3"/>
      <c r="H255" s="8" t="s">
        <v>30</v>
      </c>
      <c r="I255" s="8" t="str">
        <f t="shared" si="24"/>
        <v>AudioNull</v>
      </c>
      <c r="J255" s="8" t="str">
        <f t="shared" si="25"/>
        <v/>
      </c>
      <c r="N255" s="4"/>
      <c r="X255" s="18"/>
      <c r="Y255" s="18"/>
      <c r="Z255" s="4"/>
      <c r="AA255" s="4"/>
      <c r="AB255" s="4"/>
    </row>
    <row r="256" spans="1:28" x14ac:dyDescent="0.3">
      <c r="A256" s="3">
        <v>4029</v>
      </c>
      <c r="B256" s="4" t="s">
        <v>97</v>
      </c>
      <c r="C256" s="5" t="s">
        <v>25</v>
      </c>
      <c r="D256" s="5" t="s">
        <v>39</v>
      </c>
      <c r="E256" s="8" t="str">
        <f t="shared" si="27"/>
        <v>ui_s1_fight_km_name_jyg</v>
      </c>
      <c r="F256" s="8" t="str">
        <f t="shared" si="26"/>
        <v>ui_s1_fight_card1_tu_jingyugong</v>
      </c>
      <c r="G256" s="3"/>
      <c r="H256" s="8" t="s">
        <v>136</v>
      </c>
      <c r="I256" s="8" t="str">
        <f t="shared" si="24"/>
        <v>AudioNull</v>
      </c>
      <c r="J256" s="8" t="str">
        <f t="shared" si="25"/>
        <v>ui_s1_fight_zhuangbei_004_jingyugong</v>
      </c>
      <c r="X256" s="18"/>
      <c r="Y256" s="18"/>
      <c r="Z256" s="4"/>
      <c r="AA256" s="4"/>
      <c r="AB256" s="4"/>
    </row>
    <row r="257" spans="1:33" x14ac:dyDescent="0.3">
      <c r="A257" s="3">
        <v>4030</v>
      </c>
      <c r="B257" s="11" t="s">
        <v>30</v>
      </c>
      <c r="C257" s="5" t="s">
        <v>25</v>
      </c>
      <c r="D257" s="5" t="s">
        <v>46</v>
      </c>
      <c r="E257" s="8" t="str">
        <f t="shared" si="27"/>
        <v>ui_s1_fight_km_chongsha</v>
      </c>
      <c r="F257" s="8" t="str">
        <f t="shared" si="26"/>
        <v>ui_s1_fight_card1_tu_sha</v>
      </c>
      <c r="G257" s="3"/>
      <c r="H257" s="8" t="s">
        <v>30</v>
      </c>
      <c r="I257" s="8" t="str">
        <f t="shared" si="24"/>
        <v>AudioNull</v>
      </c>
      <c r="J257" s="8" t="str">
        <f t="shared" si="25"/>
        <v/>
      </c>
      <c r="N257" s="4"/>
      <c r="X257" s="18"/>
      <c r="Y257" s="18"/>
      <c r="Z257" s="4"/>
      <c r="AA257" s="4"/>
      <c r="AB257" s="4"/>
    </row>
    <row r="258" spans="1:33" x14ac:dyDescent="0.3">
      <c r="A258" s="3">
        <v>4031</v>
      </c>
      <c r="B258" s="4" t="s">
        <v>350</v>
      </c>
      <c r="C258" s="5" t="s">
        <v>25</v>
      </c>
      <c r="D258" s="5" t="s">
        <v>51</v>
      </c>
      <c r="E258" s="8" t="str">
        <f t="shared" si="27"/>
        <v>ui_s1_fight_km_name_lianhuan</v>
      </c>
      <c r="F258" s="8" t="str">
        <f t="shared" si="26"/>
        <v>ui_s1_fight_card1_tu_tslz</v>
      </c>
      <c r="G258" s="3"/>
      <c r="H258" s="8" t="s">
        <v>155</v>
      </c>
      <c r="I258" s="8" t="str">
        <f t="shared" si="24"/>
        <v>AudioNull</v>
      </c>
      <c r="J258" s="8" t="str">
        <f t="shared" si="25"/>
        <v/>
      </c>
      <c r="X258" s="18"/>
      <c r="Y258" s="18"/>
      <c r="Z258" s="4"/>
      <c r="AA258" s="4"/>
      <c r="AB258" s="4"/>
    </row>
    <row r="259" spans="1:33" x14ac:dyDescent="0.3">
      <c r="A259" s="3">
        <v>4032</v>
      </c>
      <c r="B259" s="11" t="s">
        <v>30</v>
      </c>
      <c r="C259" s="5" t="s">
        <v>25</v>
      </c>
      <c r="D259" s="5" t="s">
        <v>57</v>
      </c>
      <c r="E259" s="8" t="str">
        <f t="shared" si="27"/>
        <v>ui_s1_fight_km_chongsha</v>
      </c>
      <c r="F259" s="8" t="str">
        <f t="shared" si="26"/>
        <v>ui_s1_fight_card1_tu_sha</v>
      </c>
      <c r="G259" s="3"/>
      <c r="H259" s="8" t="s">
        <v>30</v>
      </c>
      <c r="I259" s="8" t="str">
        <f t="shared" si="24"/>
        <v>AudioNull</v>
      </c>
      <c r="J259" s="8" t="str">
        <f t="shared" si="25"/>
        <v/>
      </c>
      <c r="N259" s="4"/>
      <c r="X259" s="18"/>
      <c r="Y259" s="18"/>
      <c r="Z259" s="4"/>
      <c r="AA259" s="4"/>
      <c r="AB259" s="4"/>
    </row>
    <row r="260" spans="1:33" x14ac:dyDescent="0.3">
      <c r="A260" s="3">
        <v>4033</v>
      </c>
      <c r="B260" s="17" t="s">
        <v>30</v>
      </c>
      <c r="C260" s="5" t="s">
        <v>25</v>
      </c>
      <c r="D260" s="5" t="s">
        <v>25</v>
      </c>
      <c r="E260" s="8" t="str">
        <f t="shared" si="27"/>
        <v>ui_s1_fight_km_chongsha</v>
      </c>
      <c r="F260" s="8" t="str">
        <f t="shared" si="26"/>
        <v>ui_s1_fight_card1_tu_sha</v>
      </c>
      <c r="G260" s="3"/>
      <c r="H260" s="8" t="s">
        <v>30</v>
      </c>
      <c r="I260" s="8" t="str">
        <f t="shared" si="24"/>
        <v>AudioNull</v>
      </c>
      <c r="J260" s="8" t="str">
        <f t="shared" si="25"/>
        <v/>
      </c>
      <c r="N260" s="4"/>
      <c r="X260" s="18"/>
      <c r="Y260" s="18"/>
      <c r="Z260" s="4"/>
      <c r="AA260" s="4"/>
      <c r="AB260" s="4"/>
    </row>
    <row r="261" spans="1:33" x14ac:dyDescent="0.3">
      <c r="A261" s="3">
        <v>4034</v>
      </c>
      <c r="B261" s="4" t="s">
        <v>101</v>
      </c>
      <c r="C261" s="5" t="s">
        <v>25</v>
      </c>
      <c r="D261" s="5" t="s">
        <v>28</v>
      </c>
      <c r="E261" s="8" t="str">
        <f t="shared" si="27"/>
        <v>ui_s1_fight_km_name_zgln</v>
      </c>
      <c r="F261" s="8" t="str">
        <f t="shared" si="26"/>
        <v>ui_s1_fight_card1_tu_zhugeliannu</v>
      </c>
      <c r="G261" s="3"/>
      <c r="H261" s="8" t="s">
        <v>155</v>
      </c>
      <c r="I261" s="8" t="str">
        <f t="shared" si="24"/>
        <v>AudioNull</v>
      </c>
      <c r="J261" s="8" t="str">
        <f t="shared" si="25"/>
        <v>ui_s1_fight_zhuangbei_011_zhugeliannu</v>
      </c>
      <c r="X261" s="18"/>
      <c r="Y261" s="18"/>
      <c r="Z261" s="4"/>
      <c r="AA261" s="4"/>
      <c r="AB261" s="4"/>
    </row>
    <row r="262" spans="1:33" x14ac:dyDescent="0.3">
      <c r="A262" s="3">
        <v>4035</v>
      </c>
      <c r="B262" s="11" t="s">
        <v>30</v>
      </c>
      <c r="C262" s="5" t="s">
        <v>25</v>
      </c>
      <c r="D262" s="5" t="s">
        <v>31</v>
      </c>
      <c r="E262" s="8" t="str">
        <f t="shared" si="27"/>
        <v>ui_s1_fight_km_chongsha</v>
      </c>
      <c r="F262" s="8" t="str">
        <f t="shared" si="26"/>
        <v>ui_s1_fight_card1_tu_sha</v>
      </c>
      <c r="G262" s="3"/>
      <c r="H262" s="8" t="s">
        <v>30</v>
      </c>
      <c r="I262" s="8" t="str">
        <f t="shared" si="24"/>
        <v>AudioNull</v>
      </c>
      <c r="J262" s="8" t="str">
        <f t="shared" si="25"/>
        <v/>
      </c>
      <c r="N262" s="4"/>
      <c r="X262" s="18"/>
      <c r="Y262" s="18"/>
      <c r="Z262" s="4"/>
      <c r="AA262" s="4"/>
      <c r="AB262" s="4"/>
      <c r="AC262" s="4"/>
    </row>
    <row r="263" spans="1:33" x14ac:dyDescent="0.3">
      <c r="A263" s="3">
        <v>4036</v>
      </c>
      <c r="B263" s="11" t="s">
        <v>380</v>
      </c>
      <c r="C263" s="5" t="s">
        <v>25</v>
      </c>
      <c r="D263" s="5" t="s">
        <v>33</v>
      </c>
      <c r="E263" s="8" t="str">
        <f t="shared" si="27"/>
        <v>ui_s1_fight_km_leishai</v>
      </c>
      <c r="F263" s="8" t="str">
        <f t="shared" si="26"/>
        <v>ui_s1_fight_card1_tu_sha</v>
      </c>
      <c r="G263" s="3"/>
      <c r="H263" s="8" t="s">
        <v>30</v>
      </c>
      <c r="I263" s="8" t="str">
        <f t="shared" si="24"/>
        <v>AudioNull</v>
      </c>
      <c r="J263" s="8" t="str">
        <f t="shared" si="25"/>
        <v/>
      </c>
      <c r="N263" s="4"/>
      <c r="X263" s="18"/>
      <c r="Y263" s="18"/>
      <c r="Z263" s="4"/>
      <c r="AA263" s="4"/>
      <c r="AB263" s="4"/>
      <c r="AC263" s="4"/>
    </row>
    <row r="264" spans="1:33" x14ac:dyDescent="0.3">
      <c r="A264" s="3">
        <v>4037</v>
      </c>
      <c r="B264" s="17" t="s">
        <v>30</v>
      </c>
      <c r="C264" s="5" t="s">
        <v>25</v>
      </c>
      <c r="D264" s="5" t="s">
        <v>39</v>
      </c>
      <c r="E264" s="8" t="str">
        <f t="shared" si="27"/>
        <v>ui_s1_fight_km_chongsha</v>
      </c>
      <c r="F264" s="8" t="str">
        <f t="shared" si="26"/>
        <v>ui_s1_fight_card1_tu_sha</v>
      </c>
      <c r="G264" s="3"/>
      <c r="H264" s="8" t="s">
        <v>30</v>
      </c>
      <c r="I264" s="8" t="str">
        <f t="shared" si="24"/>
        <v>AudioNull</v>
      </c>
      <c r="J264" s="8" t="str">
        <f t="shared" si="25"/>
        <v/>
      </c>
      <c r="N264" s="4"/>
      <c r="X264" s="18"/>
      <c r="Y264" s="18"/>
      <c r="Z264" s="4"/>
      <c r="AA264" s="4"/>
      <c r="AB264" s="4"/>
      <c r="AC264" s="4"/>
    </row>
    <row r="265" spans="1:33" x14ac:dyDescent="0.3">
      <c r="A265" s="3">
        <v>4038</v>
      </c>
      <c r="B265" s="11" t="s">
        <v>30</v>
      </c>
      <c r="C265" s="5" t="s">
        <v>25</v>
      </c>
      <c r="D265" s="5" t="s">
        <v>46</v>
      </c>
      <c r="E265" s="8" t="str">
        <f t="shared" si="27"/>
        <v>ui_s1_fight_km_chongsha</v>
      </c>
      <c r="F265" s="8" t="str">
        <f t="shared" si="26"/>
        <v>ui_s1_fight_card1_tu_sha</v>
      </c>
      <c r="G265" s="3"/>
      <c r="H265" s="8" t="s">
        <v>30</v>
      </c>
      <c r="I265" s="8" t="str">
        <f t="shared" si="24"/>
        <v>AudioNull</v>
      </c>
      <c r="J265" s="8" t="str">
        <f t="shared" si="25"/>
        <v/>
      </c>
      <c r="N265" s="4"/>
      <c r="X265" s="18"/>
      <c r="Y265" s="18"/>
      <c r="Z265" s="4"/>
      <c r="AA265" s="4"/>
      <c r="AB265" s="4"/>
      <c r="AC265" s="4"/>
    </row>
    <row r="266" spans="1:33" x14ac:dyDescent="0.3">
      <c r="A266" s="3">
        <v>4039</v>
      </c>
      <c r="B266" s="4" t="s">
        <v>350</v>
      </c>
      <c r="C266" s="5" t="s">
        <v>25</v>
      </c>
      <c r="D266" s="5" t="s">
        <v>51</v>
      </c>
      <c r="E266" s="8" t="str">
        <f t="shared" si="27"/>
        <v>ui_s1_fight_km_name_lianhuan</v>
      </c>
      <c r="F266" s="8" t="str">
        <f t="shared" si="26"/>
        <v>ui_s1_fight_card1_tu_tslz</v>
      </c>
      <c r="G266" s="3"/>
      <c r="H266" s="8" t="s">
        <v>155</v>
      </c>
      <c r="I266" s="8" t="str">
        <f t="shared" si="24"/>
        <v>AudioNull</v>
      </c>
      <c r="J266" s="8" t="str">
        <f t="shared" si="25"/>
        <v/>
      </c>
      <c r="X266" s="18"/>
      <c r="Y266" s="18"/>
      <c r="Z266" s="4"/>
      <c r="AA266" s="4"/>
      <c r="AB266" s="4"/>
      <c r="AC266" s="4"/>
    </row>
    <row r="267" spans="1:33" x14ac:dyDescent="0.3">
      <c r="A267" s="3">
        <v>4040</v>
      </c>
      <c r="B267" s="11" t="s">
        <v>30</v>
      </c>
      <c r="C267" s="5" t="s">
        <v>25</v>
      </c>
      <c r="D267" s="5" t="s">
        <v>57</v>
      </c>
      <c r="E267" s="8" t="str">
        <f t="shared" si="27"/>
        <v>ui_s1_fight_km_chongsha</v>
      </c>
      <c r="F267" s="8" t="str">
        <f t="shared" si="26"/>
        <v>ui_s1_fight_card1_tu_sha</v>
      </c>
      <c r="G267" s="3"/>
      <c r="H267" s="8" t="s">
        <v>30</v>
      </c>
      <c r="I267" s="8" t="str">
        <f t="shared" si="24"/>
        <v>AudioNull</v>
      </c>
      <c r="J267" s="8" t="str">
        <f t="shared" si="25"/>
        <v/>
      </c>
      <c r="N267" s="4"/>
      <c r="X267" s="18"/>
      <c r="Y267" s="18"/>
      <c r="Z267" s="4"/>
      <c r="AA267" s="4"/>
      <c r="AB267" s="4"/>
      <c r="AC267" s="4"/>
    </row>
    <row r="268" spans="1:33" x14ac:dyDescent="0.3">
      <c r="A268" s="3">
        <v>4041</v>
      </c>
      <c r="B268" s="4" t="s">
        <v>109</v>
      </c>
      <c r="C268" s="5" t="s">
        <v>28</v>
      </c>
      <c r="D268" s="5" t="s">
        <v>25</v>
      </c>
      <c r="E268" s="8" t="str">
        <f t="shared" si="27"/>
        <v>ui_s1_fight_km_name_xysx</v>
      </c>
      <c r="F268" s="8" t="str">
        <f t="shared" si="26"/>
        <v>ui_s1_fight_card1_tu_xysx</v>
      </c>
      <c r="G268" s="3"/>
      <c r="H268" s="8" t="s">
        <v>181</v>
      </c>
      <c r="I268" s="8" t="str">
        <f t="shared" si="24"/>
        <v>AudioNull</v>
      </c>
      <c r="J268" s="8" t="str">
        <f t="shared" si="25"/>
        <v/>
      </c>
      <c r="N268" s="4"/>
      <c r="R268" s="4"/>
      <c r="X268" s="18"/>
      <c r="Y268" s="18"/>
      <c r="Z268" s="4"/>
      <c r="AA268" s="4"/>
      <c r="AB268" s="4"/>
      <c r="AC268" s="4"/>
    </row>
    <row r="269" spans="1:33" x14ac:dyDescent="0.3">
      <c r="A269" s="3">
        <v>4042</v>
      </c>
      <c r="B269" s="4" t="s">
        <v>112</v>
      </c>
      <c r="C269" s="5" t="s">
        <v>28</v>
      </c>
      <c r="D269" s="5" t="s">
        <v>28</v>
      </c>
      <c r="E269" s="8" t="str">
        <f t="shared" si="27"/>
        <v>ui_s1_fight_km_name_ddys</v>
      </c>
      <c r="F269" s="8" t="str">
        <f t="shared" si="26"/>
        <v>ui_s1_fight_card1_tu_ddys</v>
      </c>
      <c r="G269" s="3"/>
      <c r="H269" s="8" t="s">
        <v>185</v>
      </c>
      <c r="I269" s="8" t="str">
        <f t="shared" si="24"/>
        <v>AudioNull</v>
      </c>
      <c r="J269" s="8" t="str">
        <f t="shared" si="25"/>
        <v/>
      </c>
      <c r="X269" s="18"/>
      <c r="Y269" s="18"/>
      <c r="Z269"/>
      <c r="AA269"/>
      <c r="AB269"/>
      <c r="AC269"/>
      <c r="AD269"/>
      <c r="AE269"/>
      <c r="AF269"/>
      <c r="AG269"/>
    </row>
    <row r="270" spans="1:33" x14ac:dyDescent="0.3">
      <c r="A270" s="3">
        <v>4043</v>
      </c>
      <c r="B270" s="4" t="s">
        <v>115</v>
      </c>
      <c r="C270" s="5" t="s">
        <v>28</v>
      </c>
      <c r="D270" s="5" t="s">
        <v>31</v>
      </c>
      <c r="E270" s="8" t="str">
        <f t="shared" si="27"/>
        <v>ui_s1_fight_km_name_tengjia</v>
      </c>
      <c r="F270" s="8" t="str">
        <f t="shared" si="26"/>
        <v>ui_s1_fight_card1_tu_tengjia</v>
      </c>
      <c r="G270" s="3"/>
      <c r="H270" s="8" t="s">
        <v>189</v>
      </c>
      <c r="I270" s="8" t="str">
        <f t="shared" si="24"/>
        <v>AudioNull</v>
      </c>
      <c r="J270" s="8" t="str">
        <f t="shared" si="25"/>
        <v>ui_s1_fight_zhuangbei_013_tengjia</v>
      </c>
      <c r="X270" s="18"/>
      <c r="Y270" s="18"/>
      <c r="Z270"/>
      <c r="AA270"/>
      <c r="AB270"/>
      <c r="AC270"/>
      <c r="AD270"/>
      <c r="AE270"/>
      <c r="AF270"/>
      <c r="AG270"/>
    </row>
    <row r="271" spans="1:33" x14ac:dyDescent="0.3">
      <c r="A271" s="3">
        <v>4044</v>
      </c>
      <c r="B271" s="11" t="s">
        <v>343</v>
      </c>
      <c r="C271" s="5" t="s">
        <v>28</v>
      </c>
      <c r="D271" s="5" t="s">
        <v>33</v>
      </c>
      <c r="E271" s="8" t="str">
        <f t="shared" si="27"/>
        <v>ui_s1_fight_km_nuqii</v>
      </c>
      <c r="F271" s="8" t="str">
        <f t="shared" si="26"/>
        <v>ui_s1_fight_card1_tu_nuqi</v>
      </c>
      <c r="G271" s="3"/>
      <c r="H271" s="8" t="s">
        <v>476</v>
      </c>
      <c r="I271" s="8" t="str">
        <f t="shared" si="24"/>
        <v>AudioNull</v>
      </c>
      <c r="J271" s="8" t="str">
        <f t="shared" si="25"/>
        <v/>
      </c>
      <c r="X271" s="18"/>
      <c r="Y271" s="18"/>
      <c r="Z271"/>
      <c r="AA271"/>
      <c r="AB271"/>
      <c r="AC271"/>
      <c r="AD271"/>
      <c r="AE271"/>
      <c r="AF271"/>
      <c r="AG271"/>
    </row>
    <row r="272" spans="1:33" x14ac:dyDescent="0.3">
      <c r="A272" s="3">
        <v>4045</v>
      </c>
      <c r="B272" s="4" t="s">
        <v>125</v>
      </c>
      <c r="C272" s="5" t="s">
        <v>28</v>
      </c>
      <c r="D272" s="5" t="s">
        <v>39</v>
      </c>
      <c r="E272" s="8" t="str">
        <f t="shared" si="27"/>
        <v>ui_s1_fight_km_name_xbtc</v>
      </c>
      <c r="F272" s="8" t="str">
        <f t="shared" si="26"/>
        <v>ui_s1_fight_card1_tu_xianbatouchou</v>
      </c>
      <c r="G272" s="3"/>
      <c r="H272" s="8" t="s">
        <v>197</v>
      </c>
      <c r="I272" s="8" t="str">
        <f t="shared" si="24"/>
        <v>AudioNull</v>
      </c>
      <c r="J272" s="8" t="str">
        <f t="shared" si="25"/>
        <v/>
      </c>
      <c r="X272" s="18"/>
      <c r="Y272" s="18"/>
      <c r="Z272"/>
      <c r="AA272"/>
      <c r="AB272"/>
      <c r="AC272"/>
      <c r="AD272"/>
      <c r="AE272"/>
      <c r="AF272"/>
      <c r="AG272"/>
    </row>
    <row r="273" spans="1:33" x14ac:dyDescent="0.3">
      <c r="A273" s="3">
        <v>4046</v>
      </c>
      <c r="B273" s="16" t="s">
        <v>137</v>
      </c>
      <c r="C273" s="5" t="s">
        <v>28</v>
      </c>
      <c r="D273" s="5" t="s">
        <v>46</v>
      </c>
      <c r="E273" s="8" t="str">
        <f t="shared" si="27"/>
        <v>ui_s1_fight_km_name_dilu</v>
      </c>
      <c r="F273" s="8" t="str">
        <f t="shared" si="26"/>
        <v>ui_s1_fight_card1_tu_dilu</v>
      </c>
      <c r="G273" s="3"/>
      <c r="H273" s="8" t="s">
        <v>199</v>
      </c>
      <c r="I273" s="8" t="str">
        <f t="shared" si="24"/>
        <v>AudioNull</v>
      </c>
      <c r="J273" s="8" t="str">
        <f t="shared" si="25"/>
        <v>ui_s1_fight_zhuangbei_021_dilu</v>
      </c>
      <c r="X273" s="18"/>
      <c r="Y273" s="18"/>
      <c r="Z273"/>
      <c r="AA273"/>
      <c r="AB273"/>
      <c r="AC273"/>
      <c r="AD273"/>
      <c r="AE273"/>
      <c r="AF273"/>
      <c r="AG273"/>
    </row>
    <row r="274" spans="1:33" x14ac:dyDescent="0.3">
      <c r="A274" s="3">
        <v>4047</v>
      </c>
      <c r="B274" s="17" t="s">
        <v>152</v>
      </c>
      <c r="C274" s="5" t="s">
        <v>28</v>
      </c>
      <c r="D274" s="5" t="s">
        <v>51</v>
      </c>
      <c r="E274" s="8" t="str">
        <f t="shared" si="27"/>
        <v>ui_s1_fight_km_pantao</v>
      </c>
      <c r="F274" s="8" t="str">
        <f t="shared" si="26"/>
        <v>ui_s1_fight_card1_tu_tao_01</v>
      </c>
      <c r="G274" s="3"/>
      <c r="H274" s="8" t="s">
        <v>152</v>
      </c>
      <c r="I274" s="8" t="str">
        <f t="shared" si="24"/>
        <v>AudioNull</v>
      </c>
      <c r="J274" s="8" t="str">
        <f t="shared" si="25"/>
        <v/>
      </c>
      <c r="N274" s="4"/>
      <c r="R274" s="4"/>
      <c r="X274" s="18"/>
      <c r="Y274" s="18"/>
      <c r="Z274"/>
      <c r="AA274"/>
      <c r="AB274"/>
      <c r="AC274"/>
      <c r="AD274"/>
      <c r="AE274"/>
      <c r="AF274"/>
      <c r="AG274"/>
    </row>
    <row r="275" spans="1:33" x14ac:dyDescent="0.3">
      <c r="A275" s="3">
        <v>4048</v>
      </c>
      <c r="B275" s="17" t="s">
        <v>152</v>
      </c>
      <c r="C275" s="5" t="s">
        <v>28</v>
      </c>
      <c r="D275" s="5" t="s">
        <v>57</v>
      </c>
      <c r="E275" s="8" t="str">
        <f t="shared" si="27"/>
        <v>ui_s1_fight_km_pantao</v>
      </c>
      <c r="F275" s="8" t="str">
        <f t="shared" si="26"/>
        <v>ui_s1_fight_card1_tu_tao_01</v>
      </c>
      <c r="G275" s="3"/>
      <c r="H275" s="8" t="s">
        <v>152</v>
      </c>
      <c r="I275" s="8" t="str">
        <f t="shared" si="24"/>
        <v>AudioNull</v>
      </c>
      <c r="J275" s="8" t="str">
        <f t="shared" si="25"/>
        <v/>
      </c>
      <c r="N275" s="4"/>
      <c r="R275" s="4"/>
      <c r="X275" s="18"/>
      <c r="Y275" s="18"/>
      <c r="Z275"/>
      <c r="AA275"/>
      <c r="AB275"/>
      <c r="AC275"/>
      <c r="AD275"/>
      <c r="AE275"/>
      <c r="AF275"/>
      <c r="AG275"/>
    </row>
    <row r="276" spans="1:33" x14ac:dyDescent="0.3">
      <c r="A276" s="3">
        <v>4049</v>
      </c>
      <c r="B276" s="4" t="s">
        <v>141</v>
      </c>
      <c r="C276" s="5" t="s">
        <v>28</v>
      </c>
      <c r="D276" s="5" t="s">
        <v>25</v>
      </c>
      <c r="E276" s="8" t="str">
        <f t="shared" si="27"/>
        <v>ui_s1_fight_km_name_tianlei</v>
      </c>
      <c r="F276" s="8" t="str">
        <f t="shared" si="26"/>
        <v>ui_s1_fight_card1_tu_tianlei</v>
      </c>
      <c r="G276" s="3"/>
      <c r="H276" s="8" t="s">
        <v>210</v>
      </c>
      <c r="I276" s="8" t="str">
        <f t="shared" si="24"/>
        <v>AudioNull</v>
      </c>
      <c r="J276" s="8" t="str">
        <f t="shared" si="25"/>
        <v/>
      </c>
      <c r="N276" s="4"/>
      <c r="R276" s="4"/>
      <c r="X276" s="18"/>
      <c r="Y276" s="18"/>
      <c r="Z276"/>
      <c r="AA276"/>
      <c r="AB276"/>
      <c r="AC276"/>
      <c r="AD276"/>
      <c r="AE276"/>
      <c r="AF276"/>
      <c r="AG276"/>
    </row>
    <row r="277" spans="1:33" x14ac:dyDescent="0.3">
      <c r="A277" s="3">
        <v>4050</v>
      </c>
      <c r="B277" s="4" t="s">
        <v>112</v>
      </c>
      <c r="C277" s="5" t="s">
        <v>28</v>
      </c>
      <c r="D277" s="5" t="s">
        <v>28</v>
      </c>
      <c r="E277" s="8" t="str">
        <f t="shared" si="27"/>
        <v>ui_s1_fight_km_name_ddys</v>
      </c>
      <c r="F277" s="8" t="str">
        <f t="shared" si="26"/>
        <v>ui_s1_fight_card1_tu_ddys</v>
      </c>
      <c r="G277" s="3"/>
      <c r="H277" s="8" t="s">
        <v>185</v>
      </c>
      <c r="I277" s="8" t="str">
        <f t="shared" si="24"/>
        <v>AudioNull</v>
      </c>
      <c r="J277" s="8" t="str">
        <f t="shared" si="25"/>
        <v/>
      </c>
      <c r="X277" s="18"/>
      <c r="Y277" s="18"/>
      <c r="Z277"/>
      <c r="AA277"/>
      <c r="AB277"/>
      <c r="AC277"/>
      <c r="AD277"/>
      <c r="AE277"/>
      <c r="AF277"/>
      <c r="AG277"/>
    </row>
    <row r="278" spans="1:33" x14ac:dyDescent="0.3">
      <c r="A278" s="3">
        <v>4051</v>
      </c>
      <c r="B278" s="16" t="s">
        <v>362</v>
      </c>
      <c r="C278" s="5" t="s">
        <v>28</v>
      </c>
      <c r="D278" s="5" t="s">
        <v>31</v>
      </c>
      <c r="E278" s="8" t="str">
        <f t="shared" si="27"/>
        <v>ui_s1_fight_km_name_jiuhan</v>
      </c>
      <c r="F278" s="8" t="str">
        <f t="shared" si="26"/>
        <v>ui_s1_fight_card1_tu_jiuhan</v>
      </c>
      <c r="G278" s="3"/>
      <c r="H278" s="8" t="s">
        <v>477</v>
      </c>
      <c r="I278" s="8" t="str">
        <f t="shared" si="24"/>
        <v>AudioNull</v>
      </c>
      <c r="J278" s="8" t="str">
        <f t="shared" si="25"/>
        <v/>
      </c>
      <c r="N278" s="4"/>
      <c r="R278" s="4"/>
      <c r="X278" s="18"/>
      <c r="Y278" s="18"/>
      <c r="Z278"/>
      <c r="AA278"/>
      <c r="AB278"/>
      <c r="AC278"/>
      <c r="AD278"/>
      <c r="AE278"/>
      <c r="AF278"/>
      <c r="AG278"/>
    </row>
    <row r="279" spans="1:33" x14ac:dyDescent="0.3">
      <c r="A279" s="3">
        <v>4052</v>
      </c>
      <c r="B279" s="11" t="s">
        <v>343</v>
      </c>
      <c r="C279" s="5" t="s">
        <v>28</v>
      </c>
      <c r="D279" s="5" t="s">
        <v>33</v>
      </c>
      <c r="E279" s="8" t="str">
        <f t="shared" si="27"/>
        <v>ui_s1_fight_km_nuqii</v>
      </c>
      <c r="F279" s="8" t="str">
        <f t="shared" si="26"/>
        <v>ui_s1_fight_card1_tu_nuqi</v>
      </c>
      <c r="G279" s="3"/>
      <c r="H279" s="8" t="s">
        <v>476</v>
      </c>
      <c r="I279" s="8" t="str">
        <f t="shared" si="24"/>
        <v>AudioNull</v>
      </c>
      <c r="J279" s="8" t="str">
        <f t="shared" si="25"/>
        <v/>
      </c>
      <c r="X279" s="18"/>
      <c r="Y279" s="18"/>
      <c r="Z279"/>
      <c r="AA279"/>
      <c r="AB279"/>
      <c r="AC279"/>
      <c r="AD279"/>
      <c r="AE279"/>
      <c r="AF279"/>
      <c r="AG279"/>
    </row>
    <row r="280" spans="1:33" x14ac:dyDescent="0.3">
      <c r="A280" s="3">
        <v>4053</v>
      </c>
      <c r="B280" s="4" t="s">
        <v>125</v>
      </c>
      <c r="C280" s="5" t="s">
        <v>28</v>
      </c>
      <c r="D280" s="5" t="s">
        <v>39</v>
      </c>
      <c r="E280" s="8" t="str">
        <f t="shared" si="27"/>
        <v>ui_s1_fight_km_name_xbtc</v>
      </c>
      <c r="F280" s="8" t="str">
        <f t="shared" si="26"/>
        <v>ui_s1_fight_card1_tu_xianbatouchou</v>
      </c>
      <c r="G280" s="3"/>
      <c r="H280" s="8" t="s">
        <v>197</v>
      </c>
      <c r="I280" s="8" t="str">
        <f t="shared" si="24"/>
        <v>AudioNull</v>
      </c>
      <c r="J280" s="8" t="str">
        <f t="shared" si="25"/>
        <v/>
      </c>
      <c r="X280" s="18"/>
      <c r="Y280" s="18"/>
      <c r="Z280"/>
      <c r="AA280"/>
      <c r="AB280"/>
      <c r="AC280"/>
      <c r="AD280"/>
      <c r="AE280"/>
      <c r="AF280"/>
      <c r="AG280"/>
    </row>
    <row r="281" spans="1:33" x14ac:dyDescent="0.3">
      <c r="A281" s="3">
        <v>4054</v>
      </c>
      <c r="B281" s="17" t="s">
        <v>343</v>
      </c>
      <c r="C281" s="5" t="s">
        <v>28</v>
      </c>
      <c r="D281" s="5" t="s">
        <v>46</v>
      </c>
      <c r="E281" s="8" t="str">
        <f t="shared" si="27"/>
        <v>ui_s1_fight_km_nuqii</v>
      </c>
      <c r="F281" s="8" t="str">
        <f t="shared" si="26"/>
        <v>ui_s1_fight_card1_tu_nuqi</v>
      </c>
      <c r="G281" s="3"/>
      <c r="H281" s="8" t="s">
        <v>476</v>
      </c>
      <c r="I281" s="8" t="str">
        <f t="shared" si="24"/>
        <v>AudioNull</v>
      </c>
      <c r="J281" s="8" t="str">
        <f t="shared" si="25"/>
        <v/>
      </c>
      <c r="Z281"/>
      <c r="AA281"/>
      <c r="AB281"/>
      <c r="AC281"/>
      <c r="AD281"/>
      <c r="AE281"/>
      <c r="AF281"/>
      <c r="AG281"/>
    </row>
    <row r="282" spans="1:33" x14ac:dyDescent="0.3">
      <c r="A282" s="3">
        <v>4055</v>
      </c>
      <c r="B282" s="17" t="s">
        <v>152</v>
      </c>
      <c r="C282" s="5" t="s">
        <v>28</v>
      </c>
      <c r="D282" s="5" t="s">
        <v>51</v>
      </c>
      <c r="E282" s="8" t="str">
        <f t="shared" si="27"/>
        <v>ui_s1_fight_km_pantao</v>
      </c>
      <c r="F282" s="8" t="str">
        <f t="shared" si="26"/>
        <v>ui_s1_fight_card1_tu_tao_01</v>
      </c>
      <c r="G282" s="3"/>
      <c r="H282" s="8" t="s">
        <v>152</v>
      </c>
      <c r="I282" s="8" t="str">
        <f t="shared" si="24"/>
        <v>AudioNull</v>
      </c>
      <c r="J282" s="8" t="str">
        <f t="shared" si="25"/>
        <v/>
      </c>
      <c r="N282" s="4"/>
      <c r="R282" s="4"/>
      <c r="Z282"/>
      <c r="AA282"/>
      <c r="AB282"/>
      <c r="AC282"/>
      <c r="AD282"/>
      <c r="AE282"/>
      <c r="AF282"/>
      <c r="AG282"/>
    </row>
    <row r="283" spans="1:33" x14ac:dyDescent="0.3">
      <c r="A283" s="3">
        <v>4056</v>
      </c>
      <c r="B283" s="11" t="s">
        <v>152</v>
      </c>
      <c r="C283" s="5" t="s">
        <v>28</v>
      </c>
      <c r="D283" s="5" t="s">
        <v>57</v>
      </c>
      <c r="E283" s="8" t="str">
        <f t="shared" si="27"/>
        <v>ui_s1_fight_km_pantao</v>
      </c>
      <c r="F283" s="8" t="str">
        <f t="shared" si="26"/>
        <v>ui_s1_fight_card1_tu_tao_01</v>
      </c>
      <c r="G283" s="3"/>
      <c r="H283" s="8" t="s">
        <v>152</v>
      </c>
      <c r="I283" s="8" t="str">
        <f t="shared" si="24"/>
        <v>AudioNull</v>
      </c>
      <c r="J283" s="8" t="str">
        <f t="shared" si="25"/>
        <v/>
      </c>
      <c r="N283" s="4"/>
      <c r="R283" s="4"/>
      <c r="Z283"/>
      <c r="AA283"/>
      <c r="AB283"/>
      <c r="AC283"/>
      <c r="AD283"/>
      <c r="AE283"/>
      <c r="AF283"/>
      <c r="AG283"/>
    </row>
    <row r="284" spans="1:33" x14ac:dyDescent="0.3">
      <c r="A284" s="3">
        <v>4057</v>
      </c>
      <c r="B284" s="11" t="s">
        <v>152</v>
      </c>
      <c r="C284" s="5" t="s">
        <v>28</v>
      </c>
      <c r="D284" s="5" t="s">
        <v>25</v>
      </c>
      <c r="E284" s="8" t="str">
        <f t="shared" si="27"/>
        <v>ui_s1_fight_km_pantao</v>
      </c>
      <c r="F284" s="8" t="str">
        <f t="shared" si="26"/>
        <v>ui_s1_fight_card1_tu_tao_01</v>
      </c>
      <c r="G284" s="3"/>
      <c r="H284" s="8" t="s">
        <v>152</v>
      </c>
      <c r="I284" s="8" t="str">
        <f t="shared" si="24"/>
        <v>AudioNull</v>
      </c>
      <c r="J284" s="8" t="str">
        <f t="shared" si="25"/>
        <v/>
      </c>
      <c r="N284" s="4"/>
      <c r="R284" s="4"/>
      <c r="Z284"/>
      <c r="AA284"/>
      <c r="AB284"/>
      <c r="AC284"/>
      <c r="AD284"/>
      <c r="AE284"/>
      <c r="AF284"/>
      <c r="AG284"/>
    </row>
    <row r="285" spans="1:33" x14ac:dyDescent="0.3">
      <c r="A285" s="3">
        <v>4058</v>
      </c>
      <c r="B285" s="4" t="s">
        <v>112</v>
      </c>
      <c r="C285" s="5" t="s">
        <v>28</v>
      </c>
      <c r="D285" s="5" t="s">
        <v>28</v>
      </c>
      <c r="E285" s="8" t="str">
        <f t="shared" si="27"/>
        <v>ui_s1_fight_km_name_ddys</v>
      </c>
      <c r="F285" s="8" t="str">
        <f t="shared" si="26"/>
        <v>ui_s1_fight_card1_tu_ddys</v>
      </c>
      <c r="G285" s="3"/>
      <c r="H285" s="8" t="s">
        <v>185</v>
      </c>
      <c r="I285" s="8" t="str">
        <f t="shared" si="24"/>
        <v>AudioNull</v>
      </c>
      <c r="J285" s="8" t="str">
        <f t="shared" si="25"/>
        <v/>
      </c>
      <c r="Z285"/>
      <c r="AA285"/>
      <c r="AB285"/>
      <c r="AC285"/>
      <c r="AD285"/>
      <c r="AE285"/>
      <c r="AF285"/>
      <c r="AG285"/>
    </row>
    <row r="286" spans="1:33" x14ac:dyDescent="0.3">
      <c r="A286" s="3">
        <v>4059</v>
      </c>
      <c r="B286" s="16" t="s">
        <v>362</v>
      </c>
      <c r="C286" s="5" t="s">
        <v>28</v>
      </c>
      <c r="D286" s="5" t="s">
        <v>31</v>
      </c>
      <c r="E286" s="8" t="str">
        <f t="shared" si="27"/>
        <v>ui_s1_fight_km_name_jiuhan</v>
      </c>
      <c r="F286" s="8" t="str">
        <f t="shared" si="26"/>
        <v>ui_s1_fight_card1_tu_jiuhan</v>
      </c>
      <c r="G286" s="3"/>
      <c r="H286" s="8" t="s">
        <v>477</v>
      </c>
      <c r="I286" s="8" t="str">
        <f t="shared" si="24"/>
        <v>AudioNull</v>
      </c>
      <c r="J286" s="8" t="str">
        <f t="shared" si="25"/>
        <v/>
      </c>
      <c r="N286" s="4"/>
      <c r="R286" s="4"/>
      <c r="Z286"/>
      <c r="AA286"/>
      <c r="AB286"/>
      <c r="AC286"/>
      <c r="AD286"/>
      <c r="AE286"/>
      <c r="AF286"/>
      <c r="AG286"/>
    </row>
    <row r="287" spans="1:33" x14ac:dyDescent="0.3">
      <c r="A287" s="3">
        <v>4060</v>
      </c>
      <c r="B287" s="11" t="s">
        <v>343</v>
      </c>
      <c r="C287" s="5" t="s">
        <v>28</v>
      </c>
      <c r="D287" s="5" t="s">
        <v>33</v>
      </c>
      <c r="E287" s="8" t="str">
        <f t="shared" si="27"/>
        <v>ui_s1_fight_km_nuqii</v>
      </c>
      <c r="F287" s="8" t="str">
        <f t="shared" si="26"/>
        <v>ui_s1_fight_card1_tu_nuqi</v>
      </c>
      <c r="G287" s="3"/>
      <c r="H287" s="8" t="s">
        <v>476</v>
      </c>
      <c r="I287" s="8" t="str">
        <f t="shared" si="24"/>
        <v>AudioNull</v>
      </c>
      <c r="J287" s="8" t="str">
        <f t="shared" si="25"/>
        <v/>
      </c>
      <c r="Z287"/>
      <c r="AA287"/>
      <c r="AB287"/>
      <c r="AC287"/>
      <c r="AD287"/>
      <c r="AE287"/>
      <c r="AF287"/>
      <c r="AG287"/>
    </row>
    <row r="288" spans="1:33" x14ac:dyDescent="0.3">
      <c r="A288" s="3">
        <v>4061</v>
      </c>
      <c r="B288" s="4" t="s">
        <v>156</v>
      </c>
      <c r="C288" s="5" t="s">
        <v>28</v>
      </c>
      <c r="D288" s="5" t="s">
        <v>39</v>
      </c>
      <c r="E288" s="8" t="str">
        <f t="shared" si="27"/>
        <v>ui_s1_fight_km_name_daoli</v>
      </c>
      <c r="F288" s="8" t="str">
        <f t="shared" si="26"/>
        <v>ui_s1_fight_card1_tu_daoli</v>
      </c>
      <c r="G288" s="3"/>
      <c r="H288" s="8" t="s">
        <v>248</v>
      </c>
      <c r="I288" s="8" t="str">
        <f t="shared" si="24"/>
        <v>AudioNull</v>
      </c>
      <c r="J288" s="8" t="str">
        <f t="shared" si="25"/>
        <v>ui_s1_fight_zhuangbei_026_daoli</v>
      </c>
      <c r="Z288"/>
      <c r="AA288"/>
      <c r="AB288"/>
      <c r="AC288"/>
      <c r="AD288"/>
      <c r="AE288"/>
      <c r="AF288"/>
      <c r="AG288"/>
    </row>
    <row r="289" spans="1:33" x14ac:dyDescent="0.3">
      <c r="A289" s="3">
        <v>4062</v>
      </c>
      <c r="B289" s="11" t="s">
        <v>152</v>
      </c>
      <c r="C289" s="5" t="s">
        <v>28</v>
      </c>
      <c r="D289" s="5" t="s">
        <v>46</v>
      </c>
      <c r="E289" s="8" t="str">
        <f t="shared" si="27"/>
        <v>ui_s1_fight_km_pantao</v>
      </c>
      <c r="F289" s="8" t="str">
        <f t="shared" si="26"/>
        <v>ui_s1_fight_card1_tu_tao_01</v>
      </c>
      <c r="G289" s="3"/>
      <c r="H289" s="8" t="s">
        <v>152</v>
      </c>
      <c r="I289" s="8" t="str">
        <f t="shared" si="24"/>
        <v>AudioNull</v>
      </c>
      <c r="J289" s="8" t="str">
        <f t="shared" si="25"/>
        <v/>
      </c>
      <c r="N289" s="4"/>
      <c r="R289" s="4"/>
      <c r="Z289"/>
      <c r="AA289"/>
      <c r="AB289"/>
      <c r="AC289"/>
      <c r="AD289"/>
      <c r="AE289"/>
      <c r="AF289"/>
      <c r="AG289"/>
    </row>
    <row r="290" spans="1:33" x14ac:dyDescent="0.3">
      <c r="A290" s="3">
        <v>4063</v>
      </c>
      <c r="B290" s="4" t="s">
        <v>160</v>
      </c>
      <c r="C290" s="5" t="s">
        <v>28</v>
      </c>
      <c r="D290" s="5" t="s">
        <v>51</v>
      </c>
      <c r="E290" s="8" t="str">
        <f t="shared" si="27"/>
        <v>ui_s1_fight_km_name_slz</v>
      </c>
      <c r="F290" s="8" t="str">
        <f t="shared" si="26"/>
        <v>ui_s1_fight_card1_tu_saluzi</v>
      </c>
      <c r="G290" s="3"/>
      <c r="H290" s="8" t="s">
        <v>255</v>
      </c>
      <c r="I290" s="8" t="str">
        <f t="shared" si="24"/>
        <v>AudioNull</v>
      </c>
      <c r="J290" s="8" t="str">
        <f t="shared" si="25"/>
        <v>ui_s1_fight_zhuangbei_024_saluzi</v>
      </c>
      <c r="Z290"/>
      <c r="AA290"/>
      <c r="AB290"/>
      <c r="AC290"/>
      <c r="AD290"/>
      <c r="AE290"/>
      <c r="AF290"/>
      <c r="AG290"/>
    </row>
    <row r="291" spans="1:33" ht="13.5" customHeight="1" x14ac:dyDescent="0.3">
      <c r="A291" s="3">
        <v>4064</v>
      </c>
      <c r="B291" s="17" t="s">
        <v>152</v>
      </c>
      <c r="C291" s="5" t="s">
        <v>28</v>
      </c>
      <c r="D291" s="5" t="s">
        <v>57</v>
      </c>
      <c r="E291" s="8" t="str">
        <f t="shared" si="27"/>
        <v>ui_s1_fight_km_pantao</v>
      </c>
      <c r="F291" s="8" t="str">
        <f t="shared" si="26"/>
        <v>ui_s1_fight_card1_tu_tao_01</v>
      </c>
      <c r="G291" s="3"/>
      <c r="H291" s="8" t="s">
        <v>152</v>
      </c>
      <c r="I291" s="8" t="str">
        <f t="shared" si="24"/>
        <v>AudioNull</v>
      </c>
      <c r="J291" s="8" t="str">
        <f t="shared" si="25"/>
        <v/>
      </c>
      <c r="N291" s="4"/>
      <c r="R291" s="4"/>
      <c r="Z291"/>
      <c r="AA291"/>
      <c r="AB291"/>
      <c r="AC291"/>
      <c r="AD291"/>
      <c r="AE291"/>
      <c r="AF291"/>
      <c r="AG291"/>
    </row>
    <row r="292" spans="1:33" ht="13.5" customHeight="1" x14ac:dyDescent="0.3">
      <c r="A292" s="3">
        <v>4065</v>
      </c>
      <c r="B292" s="16" t="s">
        <v>148</v>
      </c>
      <c r="C292" s="5" t="s">
        <v>28</v>
      </c>
      <c r="D292" s="5" t="s">
        <v>25</v>
      </c>
      <c r="E292" s="8" t="str">
        <f t="shared" si="27"/>
        <v>ui_s1_fight_km_name_zhfd</v>
      </c>
      <c r="F292" s="8" t="str">
        <f t="shared" si="26"/>
        <v>ui_s1_fight_card1_tu_zhuahuangfeidian</v>
      </c>
      <c r="G292" s="3"/>
      <c r="H292" s="8" t="s">
        <v>262</v>
      </c>
      <c r="I292" s="8" t="str">
        <f t="shared" si="24"/>
        <v>AudioNull</v>
      </c>
      <c r="J292" s="8" t="str">
        <f t="shared" si="25"/>
        <v>ui_s1_fight_zhuangbei_023_zhaohuangfeidian</v>
      </c>
      <c r="Z292"/>
      <c r="AA292"/>
      <c r="AB292"/>
      <c r="AC292"/>
      <c r="AD292"/>
      <c r="AE292"/>
      <c r="AF292"/>
      <c r="AG292"/>
    </row>
    <row r="293" spans="1:33" x14ac:dyDescent="0.3">
      <c r="A293" s="3">
        <v>4066</v>
      </c>
      <c r="B293" s="4" t="s">
        <v>112</v>
      </c>
      <c r="C293" s="5" t="s">
        <v>28</v>
      </c>
      <c r="D293" s="5" t="s">
        <v>28</v>
      </c>
      <c r="E293" s="8" t="str">
        <f t="shared" si="27"/>
        <v>ui_s1_fight_km_name_ddys</v>
      </c>
      <c r="F293" s="8" t="str">
        <f t="shared" si="26"/>
        <v>ui_s1_fight_card1_tu_ddys</v>
      </c>
      <c r="G293" s="3"/>
      <c r="H293" s="8" t="s">
        <v>185</v>
      </c>
      <c r="I293" s="8" t="str">
        <f t="shared" ref="I293:I356" si="28">IF(INDEX(U$8:U$111,MATCH($B293,$Q$8:$Q$111,0))=0,"",INDEX(U$8:U$111,MATCH($B293,$Q$8:$Q$111,0)))</f>
        <v>AudioNull</v>
      </c>
      <c r="J293" s="8" t="str">
        <f t="shared" si="25"/>
        <v/>
      </c>
      <c r="Z293"/>
      <c r="AA293"/>
      <c r="AB293"/>
      <c r="AC293"/>
      <c r="AD293"/>
      <c r="AE293"/>
      <c r="AF293"/>
      <c r="AG293"/>
    </row>
    <row r="294" spans="1:33" x14ac:dyDescent="0.3">
      <c r="A294" s="3">
        <v>4067</v>
      </c>
      <c r="B294" s="11" t="s">
        <v>343</v>
      </c>
      <c r="C294" s="5" t="s">
        <v>28</v>
      </c>
      <c r="D294" s="5" t="s">
        <v>31</v>
      </c>
      <c r="E294" s="8" t="str">
        <f t="shared" si="27"/>
        <v>ui_s1_fight_km_nuqii</v>
      </c>
      <c r="F294" s="8" t="str">
        <f t="shared" si="26"/>
        <v>ui_s1_fight_card1_tu_nuqi</v>
      </c>
      <c r="G294" s="3"/>
      <c r="H294" s="8" t="s">
        <v>476</v>
      </c>
      <c r="I294" s="8" t="str">
        <f t="shared" si="28"/>
        <v>AudioNull</v>
      </c>
      <c r="J294" s="8" t="str">
        <f t="shared" ref="J294:J357" si="29">IF(INDEX(V$8:V$111,MATCH($B294,$Q$8:$Q$111,0))=0,"",INDEX(V$8:V$111,MATCH($B294,$Q$8:$Q$111,0)))</f>
        <v/>
      </c>
      <c r="Z294"/>
      <c r="AA294"/>
      <c r="AB294"/>
      <c r="AC294"/>
      <c r="AD294"/>
      <c r="AE294"/>
      <c r="AF294"/>
      <c r="AG294"/>
    </row>
    <row r="295" spans="1:33" x14ac:dyDescent="0.3">
      <c r="A295" s="3">
        <v>4068</v>
      </c>
      <c r="B295" s="11" t="s">
        <v>343</v>
      </c>
      <c r="C295" s="5" t="s">
        <v>28</v>
      </c>
      <c r="D295" s="5" t="s">
        <v>33</v>
      </c>
      <c r="E295" s="8" t="str">
        <f t="shared" ref="E295:E358" si="30">IF(INDEX(R$8:R$111,MATCH($B295,$Q$8:$Q$111,0))=0,"",INDEX(R$8:R$111,MATCH($B295,$Q$8:$Q$111,0)))</f>
        <v>ui_s1_fight_km_nuqii</v>
      </c>
      <c r="F295" s="8" t="str">
        <f t="shared" ref="F295:F358" si="31">IF(INDEX(S$8:S$111,MATCH($B295,$Q$8:$Q$111,0))=0,"",INDEX(S$8:S$111,MATCH($B295,$Q$8:$Q$111,0)))</f>
        <v>ui_s1_fight_card1_tu_nuqi</v>
      </c>
      <c r="G295" s="3"/>
      <c r="H295" s="8" t="s">
        <v>476</v>
      </c>
      <c r="I295" s="8" t="str">
        <f t="shared" si="28"/>
        <v>AudioNull</v>
      </c>
      <c r="J295" s="8" t="str">
        <f t="shared" si="29"/>
        <v/>
      </c>
      <c r="Z295"/>
      <c r="AA295"/>
      <c r="AB295"/>
      <c r="AC295"/>
      <c r="AD295"/>
      <c r="AE295"/>
      <c r="AF295"/>
      <c r="AG295"/>
    </row>
    <row r="296" spans="1:33" x14ac:dyDescent="0.3">
      <c r="A296" s="3">
        <v>4069</v>
      </c>
      <c r="B296" s="16" t="s">
        <v>164</v>
      </c>
      <c r="C296" s="5" t="s">
        <v>28</v>
      </c>
      <c r="D296" s="5" t="s">
        <v>39</v>
      </c>
      <c r="E296" s="8" t="str">
        <f t="shared" si="30"/>
        <v>ui_s1_fight_km_name_baitiwu</v>
      </c>
      <c r="F296" s="8" t="str">
        <f t="shared" si="31"/>
        <v>ui_s1_fight_card1_tu_baitiwu</v>
      </c>
      <c r="G296" s="3"/>
      <c r="H296" s="8" t="s">
        <v>275</v>
      </c>
      <c r="I296" s="8" t="str">
        <f t="shared" si="28"/>
        <v>AudioNull</v>
      </c>
      <c r="J296" s="8" t="str">
        <f t="shared" si="29"/>
        <v>ui_s1_fight_zhuangbei_025_baitiwu</v>
      </c>
      <c r="Z296"/>
      <c r="AA296"/>
      <c r="AB296"/>
      <c r="AC296"/>
      <c r="AD296"/>
      <c r="AE296"/>
      <c r="AF296"/>
      <c r="AG296"/>
    </row>
    <row r="297" spans="1:33" x14ac:dyDescent="0.3">
      <c r="A297" s="3">
        <v>4070</v>
      </c>
      <c r="B297" s="16" t="s">
        <v>177</v>
      </c>
      <c r="C297" s="5" t="s">
        <v>28</v>
      </c>
      <c r="D297" s="5" t="s">
        <v>46</v>
      </c>
      <c r="E297" s="8" t="str">
        <f t="shared" si="30"/>
        <v>ui_s1_fight_km_wuzhui</v>
      </c>
      <c r="F297" s="8" t="str">
        <f t="shared" si="31"/>
        <v>ui_s1_fight_card1_tu_wuzhui</v>
      </c>
      <c r="G297" s="3"/>
      <c r="H297" s="8" t="s">
        <v>279</v>
      </c>
      <c r="I297" s="8" t="str">
        <f t="shared" si="28"/>
        <v>AudioNull</v>
      </c>
      <c r="J297" s="8" t="str">
        <f t="shared" si="29"/>
        <v>ui_s1_fight_zhuangbei_019_wuzhui</v>
      </c>
      <c r="Z297"/>
      <c r="AA297"/>
      <c r="AB297"/>
      <c r="AC297"/>
      <c r="AD297"/>
      <c r="AE297"/>
      <c r="AF297"/>
      <c r="AG297"/>
    </row>
    <row r="298" spans="1:33" x14ac:dyDescent="0.3">
      <c r="A298" s="3">
        <v>4071</v>
      </c>
      <c r="B298" s="17" t="s">
        <v>343</v>
      </c>
      <c r="C298" s="5" t="s">
        <v>28</v>
      </c>
      <c r="D298" s="5" t="s">
        <v>51</v>
      </c>
      <c r="E298" s="8" t="str">
        <f t="shared" si="30"/>
        <v>ui_s1_fight_km_nuqii</v>
      </c>
      <c r="F298" s="8" t="str">
        <f t="shared" si="31"/>
        <v>ui_s1_fight_card1_tu_nuqi</v>
      </c>
      <c r="G298" s="3"/>
      <c r="H298" s="8" t="s">
        <v>476</v>
      </c>
      <c r="I298" s="8" t="str">
        <f t="shared" si="28"/>
        <v>AudioNull</v>
      </c>
      <c r="J298" s="8" t="str">
        <f t="shared" si="29"/>
        <v/>
      </c>
      <c r="Z298"/>
      <c r="AA298"/>
      <c r="AB298"/>
      <c r="AC298"/>
      <c r="AD298"/>
      <c r="AE298"/>
      <c r="AF298"/>
      <c r="AG298"/>
    </row>
    <row r="299" spans="1:33" x14ac:dyDescent="0.3">
      <c r="A299" s="3">
        <v>4072</v>
      </c>
      <c r="B299" s="11" t="s">
        <v>152</v>
      </c>
      <c r="C299" s="5" t="s">
        <v>28</v>
      </c>
      <c r="D299" s="5" t="s">
        <v>57</v>
      </c>
      <c r="E299" s="8" t="str">
        <f t="shared" si="30"/>
        <v>ui_s1_fight_km_pantao</v>
      </c>
      <c r="F299" s="8" t="str">
        <f t="shared" si="31"/>
        <v>ui_s1_fight_card1_tu_tao_01</v>
      </c>
      <c r="G299" s="3"/>
      <c r="H299" s="8" t="s">
        <v>152</v>
      </c>
      <c r="I299" s="8" t="str">
        <f t="shared" si="28"/>
        <v>AudioNull</v>
      </c>
      <c r="J299" s="8" t="str">
        <f t="shared" si="29"/>
        <v/>
      </c>
      <c r="N299" s="4"/>
      <c r="R299" s="4"/>
      <c r="Z299"/>
      <c r="AA299"/>
      <c r="AB299"/>
      <c r="AC299"/>
      <c r="AD299"/>
      <c r="AE299"/>
      <c r="AF299"/>
      <c r="AG299"/>
    </row>
    <row r="300" spans="1:33" x14ac:dyDescent="0.3">
      <c r="A300" s="3">
        <v>4073</v>
      </c>
      <c r="B300" s="11" t="s">
        <v>152</v>
      </c>
      <c r="C300" s="5" t="s">
        <v>28</v>
      </c>
      <c r="D300" s="5" t="s">
        <v>25</v>
      </c>
      <c r="E300" s="8" t="str">
        <f t="shared" si="30"/>
        <v>ui_s1_fight_km_pantao</v>
      </c>
      <c r="F300" s="8" t="str">
        <f t="shared" si="31"/>
        <v>ui_s1_fight_card1_tu_tao_01</v>
      </c>
      <c r="G300" s="3"/>
      <c r="H300" s="8" t="s">
        <v>152</v>
      </c>
      <c r="I300" s="8" t="str">
        <f t="shared" si="28"/>
        <v>AudioNull</v>
      </c>
      <c r="J300" s="8" t="str">
        <f t="shared" si="29"/>
        <v/>
      </c>
      <c r="N300" s="4"/>
      <c r="R300" s="4"/>
      <c r="Z300"/>
      <c r="AA300"/>
      <c r="AB300"/>
      <c r="AC300"/>
      <c r="AD300"/>
      <c r="AE300"/>
      <c r="AF300"/>
      <c r="AG300"/>
    </row>
    <row r="301" spans="1:33" x14ac:dyDescent="0.3">
      <c r="A301" s="3">
        <v>4074</v>
      </c>
      <c r="B301" s="4" t="s">
        <v>112</v>
      </c>
      <c r="C301" s="5" t="s">
        <v>28</v>
      </c>
      <c r="D301" s="5" t="s">
        <v>28</v>
      </c>
      <c r="E301" s="8" t="str">
        <f t="shared" si="30"/>
        <v>ui_s1_fight_km_name_ddys</v>
      </c>
      <c r="F301" s="8" t="str">
        <f t="shared" si="31"/>
        <v>ui_s1_fight_card1_tu_ddys</v>
      </c>
      <c r="G301" s="3"/>
      <c r="H301" s="8" t="s">
        <v>185</v>
      </c>
      <c r="I301" s="8" t="str">
        <f t="shared" si="28"/>
        <v>AudioNull</v>
      </c>
      <c r="J301" s="8" t="str">
        <f t="shared" si="29"/>
        <v/>
      </c>
      <c r="Z301"/>
      <c r="AA301"/>
      <c r="AB301"/>
      <c r="AC301"/>
      <c r="AD301"/>
      <c r="AE301"/>
      <c r="AF301"/>
      <c r="AG301"/>
    </row>
    <row r="302" spans="1:33" x14ac:dyDescent="0.3">
      <c r="A302" s="3">
        <v>4075</v>
      </c>
      <c r="B302" s="11" t="s">
        <v>343</v>
      </c>
      <c r="C302" s="5" t="s">
        <v>28</v>
      </c>
      <c r="D302" s="5" t="s">
        <v>31</v>
      </c>
      <c r="E302" s="8" t="str">
        <f t="shared" si="30"/>
        <v>ui_s1_fight_km_nuqii</v>
      </c>
      <c r="F302" s="8" t="str">
        <f t="shared" si="31"/>
        <v>ui_s1_fight_card1_tu_nuqi</v>
      </c>
      <c r="G302" s="3"/>
      <c r="H302" s="8" t="s">
        <v>476</v>
      </c>
      <c r="I302" s="8" t="str">
        <f t="shared" si="28"/>
        <v>AudioNull</v>
      </c>
      <c r="J302" s="8" t="str">
        <f t="shared" si="29"/>
        <v/>
      </c>
      <c r="Z302"/>
      <c r="AA302"/>
      <c r="AB302"/>
      <c r="AC302"/>
      <c r="AD302"/>
      <c r="AE302"/>
      <c r="AF302"/>
      <c r="AG302"/>
    </row>
    <row r="303" spans="1:33" x14ac:dyDescent="0.3">
      <c r="A303" s="3">
        <v>4076</v>
      </c>
      <c r="B303" s="11" t="s">
        <v>343</v>
      </c>
      <c r="C303" s="5" t="s">
        <v>28</v>
      </c>
      <c r="D303" s="5" t="s">
        <v>33</v>
      </c>
      <c r="E303" s="8" t="str">
        <f t="shared" si="30"/>
        <v>ui_s1_fight_km_nuqii</v>
      </c>
      <c r="F303" s="8" t="str">
        <f t="shared" si="31"/>
        <v>ui_s1_fight_card1_tu_nuqi</v>
      </c>
      <c r="G303" s="3"/>
      <c r="H303" s="8" t="s">
        <v>476</v>
      </c>
      <c r="I303" s="8" t="str">
        <f t="shared" si="28"/>
        <v>AudioNull</v>
      </c>
      <c r="J303" s="8" t="str">
        <f t="shared" si="29"/>
        <v/>
      </c>
      <c r="Z303"/>
      <c r="AA303"/>
      <c r="AB303"/>
      <c r="AC303"/>
      <c r="AD303"/>
      <c r="AE303"/>
      <c r="AF303"/>
      <c r="AG303"/>
    </row>
    <row r="304" spans="1:33" x14ac:dyDescent="0.3">
      <c r="A304" s="3">
        <v>4077</v>
      </c>
      <c r="B304" s="16" t="s">
        <v>132</v>
      </c>
      <c r="C304" s="5" t="s">
        <v>28</v>
      </c>
      <c r="D304" s="5" t="s">
        <v>39</v>
      </c>
      <c r="E304" s="8" t="str">
        <f t="shared" si="30"/>
        <v>ui_s1_fight_km_name_jueying</v>
      </c>
      <c r="F304" s="8" t="str">
        <f t="shared" si="31"/>
        <v>ui_s1_fight_card1_tu_jueying</v>
      </c>
      <c r="G304" s="3"/>
      <c r="H304" s="8" t="s">
        <v>301</v>
      </c>
      <c r="I304" s="8" t="str">
        <f t="shared" si="28"/>
        <v>AudioNull</v>
      </c>
      <c r="J304" s="8" t="str">
        <f t="shared" si="29"/>
        <v>ui_s1_fight_zhuangbei_022_jueying</v>
      </c>
      <c r="Z304"/>
      <c r="AA304"/>
      <c r="AB304"/>
      <c r="AC304"/>
      <c r="AD304"/>
      <c r="AE304"/>
      <c r="AF304"/>
      <c r="AG304"/>
    </row>
    <row r="305" spans="1:33" x14ac:dyDescent="0.3">
      <c r="A305" s="3">
        <v>4078</v>
      </c>
      <c r="B305" s="11" t="s">
        <v>152</v>
      </c>
      <c r="C305" s="5" t="s">
        <v>28</v>
      </c>
      <c r="D305" s="5" t="s">
        <v>46</v>
      </c>
      <c r="E305" s="8" t="str">
        <f t="shared" si="30"/>
        <v>ui_s1_fight_km_pantao</v>
      </c>
      <c r="F305" s="8" t="str">
        <f t="shared" si="31"/>
        <v>ui_s1_fight_card1_tu_tao_01</v>
      </c>
      <c r="G305" s="3"/>
      <c r="H305" s="8" t="s">
        <v>152</v>
      </c>
      <c r="I305" s="8" t="str">
        <f t="shared" si="28"/>
        <v>AudioNull</v>
      </c>
      <c r="J305" s="8" t="str">
        <f t="shared" si="29"/>
        <v/>
      </c>
      <c r="N305" s="4"/>
      <c r="R305" s="4"/>
      <c r="Z305"/>
      <c r="AA305"/>
      <c r="AB305"/>
      <c r="AC305"/>
      <c r="AD305"/>
      <c r="AE305"/>
      <c r="AF305"/>
      <c r="AG305"/>
    </row>
    <row r="306" spans="1:33" x14ac:dyDescent="0.3">
      <c r="A306" s="3">
        <v>4079</v>
      </c>
      <c r="B306" s="11" t="s">
        <v>152</v>
      </c>
      <c r="C306" s="5" t="s">
        <v>28</v>
      </c>
      <c r="D306" s="5" t="s">
        <v>51</v>
      </c>
      <c r="E306" s="8" t="str">
        <f t="shared" si="30"/>
        <v>ui_s1_fight_km_pantao</v>
      </c>
      <c r="F306" s="8" t="str">
        <f t="shared" si="31"/>
        <v>ui_s1_fight_card1_tu_tao_01</v>
      </c>
      <c r="G306" s="3"/>
      <c r="H306" s="8" t="s">
        <v>152</v>
      </c>
      <c r="I306" s="8" t="str">
        <f t="shared" si="28"/>
        <v>AudioNull</v>
      </c>
      <c r="J306" s="8" t="str">
        <f t="shared" si="29"/>
        <v/>
      </c>
      <c r="N306" s="4"/>
      <c r="R306" s="4"/>
      <c r="Z306"/>
      <c r="AA306"/>
      <c r="AB306"/>
      <c r="AC306"/>
      <c r="AD306"/>
      <c r="AE306"/>
      <c r="AF306"/>
      <c r="AG306"/>
    </row>
    <row r="307" spans="1:33" x14ac:dyDescent="0.3">
      <c r="A307" s="3">
        <v>4080</v>
      </c>
      <c r="B307" s="11" t="s">
        <v>152</v>
      </c>
      <c r="C307" s="5" t="s">
        <v>28</v>
      </c>
      <c r="D307" s="5" t="s">
        <v>57</v>
      </c>
      <c r="E307" s="8" t="str">
        <f t="shared" si="30"/>
        <v>ui_s1_fight_km_pantao</v>
      </c>
      <c r="F307" s="8" t="str">
        <f t="shared" si="31"/>
        <v>ui_s1_fight_card1_tu_tao_01</v>
      </c>
      <c r="G307" s="3"/>
      <c r="H307" s="8" t="s">
        <v>152</v>
      </c>
      <c r="I307" s="8" t="str">
        <f t="shared" si="28"/>
        <v>AudioNull</v>
      </c>
      <c r="J307" s="8" t="str">
        <f t="shared" si="29"/>
        <v/>
      </c>
      <c r="N307" s="4"/>
      <c r="R307" s="4"/>
      <c r="Z307"/>
      <c r="AA307"/>
      <c r="AB307"/>
      <c r="AC307"/>
      <c r="AD307"/>
      <c r="AE307"/>
      <c r="AF307"/>
      <c r="AG307"/>
    </row>
    <row r="308" spans="1:33" x14ac:dyDescent="0.3">
      <c r="A308" s="3">
        <v>4081</v>
      </c>
      <c r="B308" s="4" t="s">
        <v>368</v>
      </c>
      <c r="C308" s="5" t="s">
        <v>31</v>
      </c>
      <c r="D308" s="5" t="s">
        <v>25</v>
      </c>
      <c r="E308" s="8" t="str">
        <f t="shared" si="30"/>
        <v>ui_s1_fight_km_name_shipo</v>
      </c>
      <c r="F308" s="8" t="str">
        <f t="shared" si="31"/>
        <v>ui_s1_fight_card1_tu_shipo</v>
      </c>
      <c r="G308" s="3"/>
      <c r="H308" s="8" t="s">
        <v>478</v>
      </c>
      <c r="I308" s="8" t="str">
        <f t="shared" si="28"/>
        <v>AudioNull</v>
      </c>
      <c r="J308" s="8" t="str">
        <f t="shared" si="29"/>
        <v/>
      </c>
      <c r="Z308"/>
      <c r="AA308"/>
      <c r="AB308"/>
      <c r="AC308"/>
      <c r="AD308"/>
      <c r="AE308"/>
      <c r="AF308"/>
      <c r="AG308"/>
    </row>
    <row r="309" spans="1:33" x14ac:dyDescent="0.3">
      <c r="A309" s="3">
        <v>4082</v>
      </c>
      <c r="B309" s="11" t="s">
        <v>174</v>
      </c>
      <c r="C309" s="5" t="s">
        <v>31</v>
      </c>
      <c r="D309" s="5" t="s">
        <v>28</v>
      </c>
      <c r="E309" s="8" t="str">
        <f t="shared" si="30"/>
        <v>ui_s1_fight_km_shanbi</v>
      </c>
      <c r="F309" s="8" t="str">
        <f t="shared" si="31"/>
        <v>ui_s1_fight_card1_tu_shan</v>
      </c>
      <c r="G309" s="3"/>
      <c r="H309" s="8" t="s">
        <v>174</v>
      </c>
      <c r="I309" s="8" t="str">
        <f t="shared" si="28"/>
        <v>AudioNull</v>
      </c>
      <c r="J309" s="8" t="str">
        <f t="shared" si="29"/>
        <v/>
      </c>
      <c r="Z309"/>
      <c r="AA309"/>
      <c r="AB309"/>
      <c r="AC309"/>
      <c r="AD309"/>
      <c r="AE309"/>
      <c r="AF309"/>
      <c r="AG309"/>
    </row>
    <row r="310" spans="1:33" x14ac:dyDescent="0.3">
      <c r="A310" s="3">
        <v>4083</v>
      </c>
      <c r="B310" s="11" t="s">
        <v>174</v>
      </c>
      <c r="C310" s="5" t="s">
        <v>31</v>
      </c>
      <c r="D310" s="5" t="s">
        <v>31</v>
      </c>
      <c r="E310" s="8" t="str">
        <f t="shared" si="30"/>
        <v>ui_s1_fight_km_shanbi</v>
      </c>
      <c r="F310" s="8" t="str">
        <f t="shared" si="31"/>
        <v>ui_s1_fight_card1_tu_shan</v>
      </c>
      <c r="G310" s="3"/>
      <c r="H310" s="8" t="s">
        <v>174</v>
      </c>
      <c r="I310" s="8" t="str">
        <f t="shared" si="28"/>
        <v>AudioNull</v>
      </c>
      <c r="J310" s="8" t="str">
        <f t="shared" si="29"/>
        <v/>
      </c>
      <c r="Z310"/>
      <c r="AA310"/>
      <c r="AB310"/>
      <c r="AC310"/>
      <c r="AD310"/>
      <c r="AE310"/>
      <c r="AF310"/>
      <c r="AG310"/>
    </row>
    <row r="311" spans="1:33" x14ac:dyDescent="0.3">
      <c r="A311" s="3">
        <v>4084</v>
      </c>
      <c r="B311" s="17" t="s">
        <v>174</v>
      </c>
      <c r="C311" s="5" t="s">
        <v>31</v>
      </c>
      <c r="D311" s="5" t="s">
        <v>33</v>
      </c>
      <c r="E311" s="8" t="str">
        <f t="shared" si="30"/>
        <v>ui_s1_fight_km_shanbi</v>
      </c>
      <c r="F311" s="8" t="str">
        <f t="shared" si="31"/>
        <v>ui_s1_fight_card1_tu_shan</v>
      </c>
      <c r="G311" s="3"/>
      <c r="H311" s="8" t="s">
        <v>174</v>
      </c>
      <c r="I311" s="8" t="str">
        <f t="shared" si="28"/>
        <v>AudioNull</v>
      </c>
      <c r="J311" s="8" t="str">
        <f t="shared" si="29"/>
        <v/>
      </c>
      <c r="Z311"/>
      <c r="AA311"/>
      <c r="AB311"/>
      <c r="AC311"/>
      <c r="AD311"/>
      <c r="AE311"/>
      <c r="AF311"/>
      <c r="AG311"/>
    </row>
    <row r="312" spans="1:33" x14ac:dyDescent="0.3">
      <c r="A312" s="3">
        <v>4085</v>
      </c>
      <c r="B312" s="4" t="s">
        <v>356</v>
      </c>
      <c r="C312" s="5" t="s">
        <v>31</v>
      </c>
      <c r="D312" s="5" t="s">
        <v>39</v>
      </c>
      <c r="E312" s="8" t="str">
        <f t="shared" si="30"/>
        <v>ui_s1_fight_km_name_duoliangjieying</v>
      </c>
      <c r="F312" s="8" t="str">
        <f t="shared" si="31"/>
        <v>ui_s1_fight_card1_tu_jieying</v>
      </c>
      <c r="G312" s="3"/>
      <c r="H312" s="8" t="s">
        <v>479</v>
      </c>
      <c r="I312" s="8" t="str">
        <f t="shared" si="28"/>
        <v>AudioNull</v>
      </c>
      <c r="J312" s="8" t="str">
        <f t="shared" si="29"/>
        <v/>
      </c>
      <c r="N312" s="4"/>
      <c r="O312" s="8"/>
      <c r="R312" s="4"/>
      <c r="S312" s="8"/>
      <c r="Z312"/>
      <c r="AA312"/>
      <c r="AB312"/>
      <c r="AC312"/>
      <c r="AD312"/>
      <c r="AE312"/>
      <c r="AF312"/>
      <c r="AG312"/>
    </row>
    <row r="313" spans="1:33" x14ac:dyDescent="0.3">
      <c r="A313" s="3">
        <v>4086</v>
      </c>
      <c r="B313" s="4" t="s">
        <v>359</v>
      </c>
      <c r="C313" s="5" t="s">
        <v>31</v>
      </c>
      <c r="D313" s="5" t="s">
        <v>46</v>
      </c>
      <c r="E313" s="8" t="str">
        <f t="shared" si="30"/>
        <v>ui_s1_fight_km_name_pozhenxiejia</v>
      </c>
      <c r="F313" s="8" t="str">
        <f t="shared" si="31"/>
        <v>ui_s1_fight_card1_tu_pozhen</v>
      </c>
      <c r="G313" s="3"/>
      <c r="H313" s="8" t="s">
        <v>480</v>
      </c>
      <c r="I313" s="8" t="str">
        <f t="shared" si="28"/>
        <v>AudioNull</v>
      </c>
      <c r="J313" s="8" t="str">
        <f t="shared" si="29"/>
        <v/>
      </c>
      <c r="Z313"/>
      <c r="AA313"/>
      <c r="AB313"/>
      <c r="AC313"/>
      <c r="AD313"/>
      <c r="AE313"/>
      <c r="AF313"/>
      <c r="AG313"/>
    </row>
    <row r="314" spans="1:33" x14ac:dyDescent="0.3">
      <c r="A314" s="3">
        <v>4087</v>
      </c>
      <c r="B314" s="11" t="s">
        <v>174</v>
      </c>
      <c r="C314" s="5" t="s">
        <v>31</v>
      </c>
      <c r="D314" s="5" t="s">
        <v>51</v>
      </c>
      <c r="E314" s="8" t="str">
        <f t="shared" si="30"/>
        <v>ui_s1_fight_km_shanbi</v>
      </c>
      <c r="F314" s="8" t="str">
        <f t="shared" si="31"/>
        <v>ui_s1_fight_card1_tu_shan</v>
      </c>
      <c r="G314" s="3"/>
      <c r="H314" s="8" t="s">
        <v>174</v>
      </c>
      <c r="I314" s="8" t="str">
        <f t="shared" si="28"/>
        <v>AudioNull</v>
      </c>
      <c r="J314" s="8" t="str">
        <f t="shared" si="29"/>
        <v/>
      </c>
      <c r="Z314"/>
      <c r="AA314"/>
      <c r="AB314"/>
      <c r="AC314"/>
      <c r="AD314"/>
      <c r="AE314"/>
      <c r="AF314"/>
      <c r="AG314"/>
    </row>
    <row r="315" spans="1:33" x14ac:dyDescent="0.3">
      <c r="A315" s="3">
        <v>4088</v>
      </c>
      <c r="B315" s="4" t="s">
        <v>365</v>
      </c>
      <c r="C315" s="5" t="s">
        <v>31</v>
      </c>
      <c r="D315" s="5" t="s">
        <v>57</v>
      </c>
      <c r="E315" s="8" t="str">
        <f t="shared" si="30"/>
        <v>ui_s1_fight_km_name_shuangdong</v>
      </c>
      <c r="F315" s="8" t="str">
        <f t="shared" si="31"/>
        <v>ui_s1_fight_card1_tu_shuangdong</v>
      </c>
      <c r="G315" s="3"/>
      <c r="H315" s="8" t="s">
        <v>481</v>
      </c>
      <c r="I315" s="8" t="str">
        <f t="shared" si="28"/>
        <v>AudioNull</v>
      </c>
      <c r="J315" s="8" t="str">
        <f t="shared" si="29"/>
        <v/>
      </c>
      <c r="N315" s="4"/>
      <c r="R315" s="4"/>
      <c r="Z315"/>
      <c r="AA315"/>
      <c r="AB315"/>
      <c r="AC315"/>
      <c r="AD315"/>
      <c r="AE315"/>
      <c r="AF315"/>
      <c r="AG315"/>
    </row>
    <row r="316" spans="1:33" x14ac:dyDescent="0.3">
      <c r="A316" s="3">
        <v>4089</v>
      </c>
      <c r="B316" s="4" t="s">
        <v>368</v>
      </c>
      <c r="C316" s="5" t="s">
        <v>31</v>
      </c>
      <c r="D316" s="5" t="s">
        <v>25</v>
      </c>
      <c r="E316" s="8" t="str">
        <f t="shared" si="30"/>
        <v>ui_s1_fight_km_name_shipo</v>
      </c>
      <c r="F316" s="8" t="str">
        <f t="shared" si="31"/>
        <v>ui_s1_fight_card1_tu_shipo</v>
      </c>
      <c r="G316" s="3"/>
      <c r="H316" s="8" t="s">
        <v>478</v>
      </c>
      <c r="I316" s="8" t="str">
        <f t="shared" si="28"/>
        <v>AudioNull</v>
      </c>
      <c r="J316" s="8" t="str">
        <f t="shared" si="29"/>
        <v/>
      </c>
      <c r="Z316"/>
      <c r="AA316"/>
      <c r="AB316"/>
      <c r="AC316"/>
      <c r="AD316"/>
      <c r="AE316"/>
      <c r="AF316"/>
      <c r="AG316"/>
    </row>
    <row r="317" spans="1:33" x14ac:dyDescent="0.3">
      <c r="A317" s="3">
        <v>4090</v>
      </c>
      <c r="B317" s="11" t="s">
        <v>174</v>
      </c>
      <c r="C317" s="5" t="s">
        <v>31</v>
      </c>
      <c r="D317" s="5" t="s">
        <v>28</v>
      </c>
      <c r="E317" s="8" t="str">
        <f t="shared" si="30"/>
        <v>ui_s1_fight_km_shanbi</v>
      </c>
      <c r="F317" s="8" t="str">
        <f t="shared" si="31"/>
        <v>ui_s1_fight_card1_tu_shan</v>
      </c>
      <c r="G317" s="3"/>
      <c r="H317" s="8" t="s">
        <v>174</v>
      </c>
      <c r="I317" s="8" t="str">
        <f t="shared" si="28"/>
        <v>AudioNull</v>
      </c>
      <c r="J317" s="8" t="str">
        <f t="shared" si="29"/>
        <v/>
      </c>
      <c r="Z317"/>
      <c r="AA317"/>
      <c r="AB317"/>
      <c r="AC317"/>
      <c r="AD317"/>
      <c r="AE317"/>
      <c r="AF317"/>
      <c r="AG317"/>
    </row>
    <row r="318" spans="1:33" x14ac:dyDescent="0.3">
      <c r="A318" s="3">
        <v>4091</v>
      </c>
      <c r="B318" s="11" t="s">
        <v>174</v>
      </c>
      <c r="C318" s="5" t="s">
        <v>31</v>
      </c>
      <c r="D318" s="5" t="s">
        <v>31</v>
      </c>
      <c r="E318" s="8" t="str">
        <f t="shared" si="30"/>
        <v>ui_s1_fight_km_shanbi</v>
      </c>
      <c r="F318" s="8" t="str">
        <f t="shared" si="31"/>
        <v>ui_s1_fight_card1_tu_shan</v>
      </c>
      <c r="G318" s="3"/>
      <c r="H318" s="8" t="s">
        <v>174</v>
      </c>
      <c r="I318" s="8" t="str">
        <f t="shared" si="28"/>
        <v>AudioNull</v>
      </c>
      <c r="J318" s="8" t="str">
        <f t="shared" si="29"/>
        <v/>
      </c>
      <c r="Z318"/>
      <c r="AA318"/>
      <c r="AB318"/>
      <c r="AC318"/>
      <c r="AD318"/>
      <c r="AE318"/>
      <c r="AF318"/>
      <c r="AG318"/>
    </row>
    <row r="319" spans="1:33" x14ac:dyDescent="0.3">
      <c r="A319" s="3">
        <v>4092</v>
      </c>
      <c r="B319" s="11" t="s">
        <v>174</v>
      </c>
      <c r="C319" s="5" t="s">
        <v>31</v>
      </c>
      <c r="D319" s="5" t="s">
        <v>33</v>
      </c>
      <c r="E319" s="8" t="str">
        <f t="shared" si="30"/>
        <v>ui_s1_fight_km_shanbi</v>
      </c>
      <c r="F319" s="8" t="str">
        <f t="shared" si="31"/>
        <v>ui_s1_fight_card1_tu_shan</v>
      </c>
      <c r="G319" s="3"/>
      <c r="H319" s="8" t="s">
        <v>174</v>
      </c>
      <c r="I319" s="8" t="str">
        <f t="shared" si="28"/>
        <v>AudioNull</v>
      </c>
      <c r="J319" s="8" t="str">
        <f t="shared" si="29"/>
        <v/>
      </c>
      <c r="Z319"/>
      <c r="AA319"/>
      <c r="AB319"/>
      <c r="AC319"/>
      <c r="AD319"/>
      <c r="AE319"/>
      <c r="AF319"/>
      <c r="AG319"/>
    </row>
    <row r="320" spans="1:33" x14ac:dyDescent="0.3">
      <c r="A320" s="3">
        <v>4093</v>
      </c>
      <c r="B320" s="4" t="s">
        <v>356</v>
      </c>
      <c r="C320" s="5" t="s">
        <v>31</v>
      </c>
      <c r="D320" s="5" t="s">
        <v>39</v>
      </c>
      <c r="E320" s="8" t="str">
        <f t="shared" si="30"/>
        <v>ui_s1_fight_km_name_duoliangjieying</v>
      </c>
      <c r="F320" s="8" t="str">
        <f t="shared" si="31"/>
        <v>ui_s1_fight_card1_tu_jieying</v>
      </c>
      <c r="G320" s="3"/>
      <c r="H320" s="8" t="s">
        <v>479</v>
      </c>
      <c r="I320" s="8" t="str">
        <f t="shared" si="28"/>
        <v>AudioNull</v>
      </c>
      <c r="J320" s="8" t="str">
        <f t="shared" si="29"/>
        <v/>
      </c>
      <c r="N320" s="4"/>
      <c r="O320" s="8"/>
      <c r="R320" s="4"/>
      <c r="S320" s="8"/>
      <c r="Z320"/>
      <c r="AA320"/>
      <c r="AB320"/>
      <c r="AC320"/>
      <c r="AD320"/>
      <c r="AE320"/>
      <c r="AF320"/>
      <c r="AG320"/>
    </row>
    <row r="321" spans="1:33" x14ac:dyDescent="0.3">
      <c r="A321" s="3">
        <v>4094</v>
      </c>
      <c r="B321" s="4" t="s">
        <v>359</v>
      </c>
      <c r="C321" s="5" t="s">
        <v>31</v>
      </c>
      <c r="D321" s="5" t="s">
        <v>46</v>
      </c>
      <c r="E321" s="8" t="str">
        <f t="shared" si="30"/>
        <v>ui_s1_fight_km_name_pozhenxiejia</v>
      </c>
      <c r="F321" s="8" t="str">
        <f t="shared" si="31"/>
        <v>ui_s1_fight_card1_tu_pozhen</v>
      </c>
      <c r="G321" s="3"/>
      <c r="H321" s="8" t="s">
        <v>480</v>
      </c>
      <c r="I321" s="8" t="str">
        <f t="shared" si="28"/>
        <v>AudioNull</v>
      </c>
      <c r="J321" s="8" t="str">
        <f t="shared" si="29"/>
        <v/>
      </c>
      <c r="Z321"/>
      <c r="AA321"/>
      <c r="AB321"/>
      <c r="AC321"/>
      <c r="AD321"/>
      <c r="AE321"/>
      <c r="AF321"/>
      <c r="AG321"/>
    </row>
    <row r="322" spans="1:33" x14ac:dyDescent="0.3">
      <c r="A322" s="3">
        <v>4095</v>
      </c>
      <c r="B322" s="11" t="s">
        <v>174</v>
      </c>
      <c r="C322" s="5" t="s">
        <v>31</v>
      </c>
      <c r="D322" s="5" t="s">
        <v>51</v>
      </c>
      <c r="E322" s="8" t="str">
        <f t="shared" si="30"/>
        <v>ui_s1_fight_km_shanbi</v>
      </c>
      <c r="F322" s="8" t="str">
        <f t="shared" si="31"/>
        <v>ui_s1_fight_card1_tu_shan</v>
      </c>
      <c r="G322" s="3"/>
      <c r="H322" s="8" t="s">
        <v>174</v>
      </c>
      <c r="I322" s="8" t="str">
        <f t="shared" si="28"/>
        <v>AudioNull</v>
      </c>
      <c r="J322" s="8" t="str">
        <f t="shared" si="29"/>
        <v/>
      </c>
      <c r="Z322"/>
      <c r="AA322"/>
      <c r="AB322"/>
      <c r="AC322"/>
      <c r="AD322"/>
      <c r="AE322"/>
      <c r="AF322"/>
      <c r="AG322"/>
    </row>
    <row r="323" spans="1:33" x14ac:dyDescent="0.3">
      <c r="A323" s="3">
        <v>4096</v>
      </c>
      <c r="B323" s="4" t="s">
        <v>365</v>
      </c>
      <c r="C323" s="5" t="s">
        <v>31</v>
      </c>
      <c r="D323" s="5" t="s">
        <v>57</v>
      </c>
      <c r="E323" s="8" t="str">
        <f t="shared" si="30"/>
        <v>ui_s1_fight_km_name_shuangdong</v>
      </c>
      <c r="F323" s="8" t="str">
        <f t="shared" si="31"/>
        <v>ui_s1_fight_card1_tu_shuangdong</v>
      </c>
      <c r="G323" s="3"/>
      <c r="H323" s="8" t="s">
        <v>481</v>
      </c>
      <c r="I323" s="8" t="str">
        <f t="shared" si="28"/>
        <v>AudioNull</v>
      </c>
      <c r="J323" s="8" t="str">
        <f t="shared" si="29"/>
        <v/>
      </c>
      <c r="N323" s="4"/>
      <c r="R323" s="4"/>
      <c r="Z323"/>
      <c r="AA323"/>
      <c r="AB323"/>
      <c r="AC323"/>
      <c r="AD323"/>
      <c r="AE323"/>
      <c r="AF323"/>
      <c r="AG323"/>
    </row>
    <row r="324" spans="1:33" x14ac:dyDescent="0.3">
      <c r="A324" s="3">
        <v>4097</v>
      </c>
      <c r="B324" s="4" t="s">
        <v>368</v>
      </c>
      <c r="C324" s="5" t="s">
        <v>31</v>
      </c>
      <c r="D324" s="5" t="s">
        <v>25</v>
      </c>
      <c r="E324" s="8" t="str">
        <f t="shared" si="30"/>
        <v>ui_s1_fight_km_name_shipo</v>
      </c>
      <c r="F324" s="8" t="str">
        <f t="shared" si="31"/>
        <v>ui_s1_fight_card1_tu_shipo</v>
      </c>
      <c r="G324" s="3"/>
      <c r="H324" s="8" t="s">
        <v>478</v>
      </c>
      <c r="I324" s="8" t="str">
        <f t="shared" si="28"/>
        <v>AudioNull</v>
      </c>
      <c r="J324" s="8" t="str">
        <f t="shared" si="29"/>
        <v/>
      </c>
      <c r="Z324"/>
      <c r="AA324"/>
      <c r="AB324"/>
      <c r="AC324"/>
      <c r="AD324"/>
      <c r="AE324"/>
      <c r="AF324"/>
      <c r="AG324"/>
    </row>
    <row r="325" spans="1:33" x14ac:dyDescent="0.3">
      <c r="A325" s="3">
        <v>4098</v>
      </c>
      <c r="B325" s="11" t="s">
        <v>174</v>
      </c>
      <c r="C325" s="5" t="s">
        <v>31</v>
      </c>
      <c r="D325" s="5" t="s">
        <v>28</v>
      </c>
      <c r="E325" s="8" t="str">
        <f t="shared" si="30"/>
        <v>ui_s1_fight_km_shanbi</v>
      </c>
      <c r="F325" s="8" t="str">
        <f t="shared" si="31"/>
        <v>ui_s1_fight_card1_tu_shan</v>
      </c>
      <c r="G325" s="3"/>
      <c r="H325" s="8" t="s">
        <v>174</v>
      </c>
      <c r="I325" s="8" t="str">
        <f t="shared" si="28"/>
        <v>AudioNull</v>
      </c>
      <c r="J325" s="8" t="str">
        <f t="shared" si="29"/>
        <v/>
      </c>
      <c r="Z325"/>
      <c r="AA325"/>
      <c r="AB325"/>
      <c r="AC325"/>
      <c r="AD325"/>
      <c r="AE325"/>
      <c r="AF325"/>
      <c r="AG325"/>
    </row>
    <row r="326" spans="1:33" x14ac:dyDescent="0.3">
      <c r="A326" s="3">
        <v>4099</v>
      </c>
      <c r="B326" s="11" t="s">
        <v>174</v>
      </c>
      <c r="C326" s="5" t="s">
        <v>31</v>
      </c>
      <c r="D326" s="5" t="s">
        <v>31</v>
      </c>
      <c r="E326" s="8" t="str">
        <f t="shared" si="30"/>
        <v>ui_s1_fight_km_shanbi</v>
      </c>
      <c r="F326" s="8" t="str">
        <f t="shared" si="31"/>
        <v>ui_s1_fight_card1_tu_shan</v>
      </c>
      <c r="G326" s="3"/>
      <c r="H326" s="8" t="s">
        <v>174</v>
      </c>
      <c r="I326" s="8" t="str">
        <f t="shared" si="28"/>
        <v>AudioNull</v>
      </c>
      <c r="J326" s="8" t="str">
        <f t="shared" si="29"/>
        <v/>
      </c>
      <c r="Z326"/>
      <c r="AA326"/>
      <c r="AB326"/>
      <c r="AC326"/>
      <c r="AD326"/>
      <c r="AE326"/>
      <c r="AF326"/>
      <c r="AG326"/>
    </row>
    <row r="327" spans="1:33" x14ac:dyDescent="0.3">
      <c r="A327" s="3">
        <v>4100</v>
      </c>
      <c r="B327" s="11" t="s">
        <v>174</v>
      </c>
      <c r="C327" s="5" t="s">
        <v>31</v>
      </c>
      <c r="D327" s="5" t="s">
        <v>33</v>
      </c>
      <c r="E327" s="8" t="str">
        <f t="shared" si="30"/>
        <v>ui_s1_fight_km_shanbi</v>
      </c>
      <c r="F327" s="8" t="str">
        <f t="shared" si="31"/>
        <v>ui_s1_fight_card1_tu_shan</v>
      </c>
      <c r="G327" s="3"/>
      <c r="H327" s="8" t="s">
        <v>174</v>
      </c>
      <c r="I327" s="8" t="str">
        <f t="shared" si="28"/>
        <v>AudioNull</v>
      </c>
      <c r="J327" s="8" t="str">
        <f t="shared" si="29"/>
        <v/>
      </c>
      <c r="Z327"/>
      <c r="AA327"/>
      <c r="AB327"/>
      <c r="AC327"/>
      <c r="AD327"/>
      <c r="AE327"/>
      <c r="AF327"/>
      <c r="AG327"/>
    </row>
    <row r="328" spans="1:33" x14ac:dyDescent="0.3">
      <c r="A328" s="3">
        <v>4101</v>
      </c>
      <c r="B328" s="4" t="s">
        <v>356</v>
      </c>
      <c r="C328" s="5" t="s">
        <v>31</v>
      </c>
      <c r="D328" s="5" t="s">
        <v>39</v>
      </c>
      <c r="E328" s="8" t="str">
        <f t="shared" si="30"/>
        <v>ui_s1_fight_km_name_duoliangjieying</v>
      </c>
      <c r="F328" s="8" t="str">
        <f t="shared" si="31"/>
        <v>ui_s1_fight_card1_tu_jieying</v>
      </c>
      <c r="G328" s="3"/>
      <c r="H328" s="8" t="s">
        <v>479</v>
      </c>
      <c r="I328" s="8" t="str">
        <f t="shared" si="28"/>
        <v>AudioNull</v>
      </c>
      <c r="J328" s="8" t="str">
        <f t="shared" si="29"/>
        <v/>
      </c>
      <c r="N328" s="4"/>
      <c r="O328" s="8"/>
      <c r="R328" s="4"/>
      <c r="S328" s="8"/>
      <c r="Z328"/>
      <c r="AA328"/>
      <c r="AB328"/>
      <c r="AC328"/>
      <c r="AD328"/>
      <c r="AE328"/>
      <c r="AF328"/>
      <c r="AG328"/>
    </row>
    <row r="329" spans="1:33" x14ac:dyDescent="0.3">
      <c r="A329" s="3">
        <v>4102</v>
      </c>
      <c r="B329" s="4" t="s">
        <v>359</v>
      </c>
      <c r="C329" s="5" t="s">
        <v>31</v>
      </c>
      <c r="D329" s="5" t="s">
        <v>46</v>
      </c>
      <c r="E329" s="8" t="str">
        <f t="shared" si="30"/>
        <v>ui_s1_fight_km_name_pozhenxiejia</v>
      </c>
      <c r="F329" s="8" t="str">
        <f t="shared" si="31"/>
        <v>ui_s1_fight_card1_tu_pozhen</v>
      </c>
      <c r="G329" s="3"/>
      <c r="H329" s="8" t="s">
        <v>480</v>
      </c>
      <c r="I329" s="8" t="str">
        <f t="shared" si="28"/>
        <v>AudioNull</v>
      </c>
      <c r="J329" s="8" t="str">
        <f t="shared" si="29"/>
        <v/>
      </c>
      <c r="Z329"/>
      <c r="AA329"/>
      <c r="AB329"/>
      <c r="AC329"/>
      <c r="AD329"/>
      <c r="AE329"/>
      <c r="AF329"/>
      <c r="AG329"/>
    </row>
    <row r="330" spans="1:33" x14ac:dyDescent="0.3">
      <c r="A330" s="3">
        <v>4103</v>
      </c>
      <c r="B330" s="11" t="s">
        <v>174</v>
      </c>
      <c r="C330" s="5" t="s">
        <v>31</v>
      </c>
      <c r="D330" s="5" t="s">
        <v>51</v>
      </c>
      <c r="E330" s="8" t="str">
        <f t="shared" si="30"/>
        <v>ui_s1_fight_km_shanbi</v>
      </c>
      <c r="F330" s="8" t="str">
        <f t="shared" si="31"/>
        <v>ui_s1_fight_card1_tu_shan</v>
      </c>
      <c r="G330" s="3"/>
      <c r="H330" s="8" t="s">
        <v>174</v>
      </c>
      <c r="I330" s="8" t="str">
        <f t="shared" si="28"/>
        <v>AudioNull</v>
      </c>
      <c r="J330" s="8" t="str">
        <f t="shared" si="29"/>
        <v/>
      </c>
      <c r="Z330"/>
      <c r="AA330"/>
      <c r="AB330"/>
      <c r="AC330"/>
      <c r="AD330"/>
      <c r="AE330"/>
      <c r="AF330"/>
      <c r="AG330"/>
    </row>
    <row r="331" spans="1:33" x14ac:dyDescent="0.3">
      <c r="A331" s="3">
        <v>4104</v>
      </c>
      <c r="B331" s="11" t="s">
        <v>174</v>
      </c>
      <c r="C331" s="5" t="s">
        <v>31</v>
      </c>
      <c r="D331" s="5" t="s">
        <v>57</v>
      </c>
      <c r="E331" s="8" t="str">
        <f t="shared" si="30"/>
        <v>ui_s1_fight_km_shanbi</v>
      </c>
      <c r="F331" s="8" t="str">
        <f t="shared" si="31"/>
        <v>ui_s1_fight_card1_tu_shan</v>
      </c>
      <c r="G331" s="3"/>
      <c r="H331" s="8" t="s">
        <v>174</v>
      </c>
      <c r="I331" s="8" t="str">
        <f t="shared" si="28"/>
        <v>AudioNull</v>
      </c>
      <c r="J331" s="8" t="str">
        <f t="shared" si="29"/>
        <v/>
      </c>
      <c r="Z331"/>
      <c r="AA331"/>
      <c r="AB331"/>
      <c r="AC331"/>
      <c r="AD331"/>
      <c r="AE331"/>
      <c r="AF331"/>
      <c r="AG331"/>
    </row>
    <row r="332" spans="1:33" x14ac:dyDescent="0.3">
      <c r="A332" s="3">
        <v>4105</v>
      </c>
      <c r="B332" s="4" t="s">
        <v>368</v>
      </c>
      <c r="C332" s="5" t="s">
        <v>31</v>
      </c>
      <c r="D332" s="5" t="s">
        <v>25</v>
      </c>
      <c r="E332" s="8" t="str">
        <f t="shared" si="30"/>
        <v>ui_s1_fight_km_name_shipo</v>
      </c>
      <c r="F332" s="8" t="str">
        <f t="shared" si="31"/>
        <v>ui_s1_fight_card1_tu_shipo</v>
      </c>
      <c r="G332" s="3"/>
      <c r="H332" s="8" t="s">
        <v>478</v>
      </c>
      <c r="I332" s="8" t="str">
        <f t="shared" si="28"/>
        <v>AudioNull</v>
      </c>
      <c r="J332" s="8" t="str">
        <f t="shared" si="29"/>
        <v/>
      </c>
      <c r="Z332"/>
      <c r="AA332"/>
      <c r="AB332"/>
      <c r="AC332"/>
      <c r="AD332"/>
      <c r="AE332"/>
      <c r="AF332"/>
      <c r="AG332"/>
    </row>
    <row r="333" spans="1:33" x14ac:dyDescent="0.3">
      <c r="A333" s="3">
        <v>4106</v>
      </c>
      <c r="B333" s="11" t="s">
        <v>174</v>
      </c>
      <c r="C333" s="5" t="s">
        <v>31</v>
      </c>
      <c r="D333" s="5" t="s">
        <v>28</v>
      </c>
      <c r="E333" s="8" t="str">
        <f t="shared" si="30"/>
        <v>ui_s1_fight_km_shanbi</v>
      </c>
      <c r="F333" s="8" t="str">
        <f t="shared" si="31"/>
        <v>ui_s1_fight_card1_tu_shan</v>
      </c>
      <c r="G333" s="3"/>
      <c r="H333" s="8" t="s">
        <v>174</v>
      </c>
      <c r="I333" s="8" t="str">
        <f t="shared" si="28"/>
        <v>AudioNull</v>
      </c>
      <c r="J333" s="8" t="str">
        <f t="shared" si="29"/>
        <v/>
      </c>
      <c r="Z333"/>
      <c r="AA333"/>
      <c r="AB333"/>
      <c r="AC333"/>
      <c r="AD333"/>
      <c r="AE333"/>
      <c r="AF333"/>
      <c r="AG333"/>
    </row>
    <row r="334" spans="1:33" x14ac:dyDescent="0.3">
      <c r="A334" s="3">
        <v>4107</v>
      </c>
      <c r="B334" s="11" t="s">
        <v>174</v>
      </c>
      <c r="C334" s="5" t="s">
        <v>31</v>
      </c>
      <c r="D334" s="5" t="s">
        <v>31</v>
      </c>
      <c r="E334" s="8" t="str">
        <f t="shared" si="30"/>
        <v>ui_s1_fight_km_shanbi</v>
      </c>
      <c r="F334" s="8" t="str">
        <f t="shared" si="31"/>
        <v>ui_s1_fight_card1_tu_shan</v>
      </c>
      <c r="G334" s="3"/>
      <c r="H334" s="8" t="s">
        <v>174</v>
      </c>
      <c r="I334" s="8" t="str">
        <f t="shared" si="28"/>
        <v>AudioNull</v>
      </c>
      <c r="J334" s="8" t="str">
        <f t="shared" si="29"/>
        <v/>
      </c>
      <c r="Z334"/>
      <c r="AA334"/>
      <c r="AB334"/>
      <c r="AC334"/>
      <c r="AD334"/>
      <c r="AE334"/>
      <c r="AF334"/>
      <c r="AG334"/>
    </row>
    <row r="335" spans="1:33" x14ac:dyDescent="0.3">
      <c r="A335" s="3">
        <v>4108</v>
      </c>
      <c r="B335" s="11" t="s">
        <v>174</v>
      </c>
      <c r="C335" s="5" t="s">
        <v>31</v>
      </c>
      <c r="D335" s="5" t="s">
        <v>33</v>
      </c>
      <c r="E335" s="8" t="str">
        <f t="shared" si="30"/>
        <v>ui_s1_fight_km_shanbi</v>
      </c>
      <c r="F335" s="8" t="str">
        <f t="shared" si="31"/>
        <v>ui_s1_fight_card1_tu_shan</v>
      </c>
      <c r="G335" s="3"/>
      <c r="H335" s="8" t="s">
        <v>174</v>
      </c>
      <c r="I335" s="8" t="str">
        <f t="shared" si="28"/>
        <v>AudioNull</v>
      </c>
      <c r="J335" s="8" t="str">
        <f t="shared" si="29"/>
        <v/>
      </c>
      <c r="Z335"/>
      <c r="AA335"/>
      <c r="AB335"/>
      <c r="AC335"/>
      <c r="AD335"/>
      <c r="AE335"/>
      <c r="AF335"/>
      <c r="AG335"/>
    </row>
    <row r="336" spans="1:33" x14ac:dyDescent="0.3">
      <c r="A336" s="3">
        <v>4109</v>
      </c>
      <c r="B336" s="4" t="s">
        <v>356</v>
      </c>
      <c r="C336" s="5" t="s">
        <v>31</v>
      </c>
      <c r="D336" s="5" t="s">
        <v>39</v>
      </c>
      <c r="E336" s="8" t="str">
        <f t="shared" si="30"/>
        <v>ui_s1_fight_km_name_duoliangjieying</v>
      </c>
      <c r="F336" s="8" t="str">
        <f t="shared" si="31"/>
        <v>ui_s1_fight_card1_tu_jieying</v>
      </c>
      <c r="G336" s="3"/>
      <c r="H336" s="8" t="s">
        <v>479</v>
      </c>
      <c r="I336" s="8" t="str">
        <f t="shared" si="28"/>
        <v>AudioNull</v>
      </c>
      <c r="J336" s="8" t="str">
        <f t="shared" si="29"/>
        <v/>
      </c>
      <c r="N336" s="4"/>
      <c r="O336" s="8"/>
      <c r="R336" s="4"/>
      <c r="S336" s="8"/>
      <c r="Z336"/>
      <c r="AA336"/>
      <c r="AB336"/>
      <c r="AC336"/>
      <c r="AD336"/>
      <c r="AE336"/>
      <c r="AF336"/>
      <c r="AG336"/>
    </row>
    <row r="337" spans="1:33" x14ac:dyDescent="0.3">
      <c r="A337" s="3">
        <v>4110</v>
      </c>
      <c r="B337" s="4" t="s">
        <v>359</v>
      </c>
      <c r="C337" s="5" t="s">
        <v>31</v>
      </c>
      <c r="D337" s="5" t="s">
        <v>46</v>
      </c>
      <c r="E337" s="8" t="str">
        <f t="shared" si="30"/>
        <v>ui_s1_fight_km_name_pozhenxiejia</v>
      </c>
      <c r="F337" s="8" t="str">
        <f t="shared" si="31"/>
        <v>ui_s1_fight_card1_tu_pozhen</v>
      </c>
      <c r="G337" s="3"/>
      <c r="H337" s="8" t="s">
        <v>480</v>
      </c>
      <c r="I337" s="8" t="str">
        <f t="shared" si="28"/>
        <v>AudioNull</v>
      </c>
      <c r="J337" s="8" t="str">
        <f t="shared" si="29"/>
        <v/>
      </c>
      <c r="Z337"/>
      <c r="AA337"/>
      <c r="AB337"/>
      <c r="AC337"/>
      <c r="AD337"/>
      <c r="AE337"/>
      <c r="AF337"/>
      <c r="AG337"/>
    </row>
    <row r="338" spans="1:33" x14ac:dyDescent="0.3">
      <c r="A338" s="3">
        <v>4111</v>
      </c>
      <c r="B338" s="11" t="s">
        <v>174</v>
      </c>
      <c r="C338" s="5" t="s">
        <v>31</v>
      </c>
      <c r="D338" s="5" t="s">
        <v>51</v>
      </c>
      <c r="E338" s="8" t="str">
        <f t="shared" si="30"/>
        <v>ui_s1_fight_km_shanbi</v>
      </c>
      <c r="F338" s="8" t="str">
        <f t="shared" si="31"/>
        <v>ui_s1_fight_card1_tu_shan</v>
      </c>
      <c r="G338" s="3"/>
      <c r="H338" s="8" t="s">
        <v>174</v>
      </c>
      <c r="I338" s="8" t="str">
        <f t="shared" si="28"/>
        <v>AudioNull</v>
      </c>
      <c r="J338" s="8" t="str">
        <f t="shared" si="29"/>
        <v/>
      </c>
      <c r="Z338"/>
      <c r="AA338"/>
      <c r="AB338"/>
      <c r="AC338"/>
      <c r="AD338"/>
      <c r="AE338"/>
      <c r="AF338"/>
      <c r="AG338"/>
    </row>
    <row r="339" spans="1:33" x14ac:dyDescent="0.3">
      <c r="A339" s="3">
        <v>4112</v>
      </c>
      <c r="B339" s="11" t="s">
        <v>174</v>
      </c>
      <c r="C339" s="5" t="s">
        <v>31</v>
      </c>
      <c r="D339" s="5" t="s">
        <v>57</v>
      </c>
      <c r="E339" s="8" t="str">
        <f t="shared" si="30"/>
        <v>ui_s1_fight_km_shanbi</v>
      </c>
      <c r="F339" s="8" t="str">
        <f t="shared" si="31"/>
        <v>ui_s1_fight_card1_tu_shan</v>
      </c>
      <c r="G339" s="3"/>
      <c r="H339" s="8" t="s">
        <v>174</v>
      </c>
      <c r="I339" s="8" t="str">
        <f t="shared" si="28"/>
        <v>AudioNull</v>
      </c>
      <c r="J339" s="8" t="str">
        <f t="shared" si="29"/>
        <v/>
      </c>
      <c r="Z339"/>
      <c r="AA339"/>
      <c r="AB339"/>
      <c r="AC339"/>
      <c r="AD339"/>
      <c r="AE339"/>
      <c r="AF339"/>
      <c r="AG339"/>
    </row>
    <row r="340" spans="1:33" x14ac:dyDescent="0.3">
      <c r="A340" s="3">
        <v>4113</v>
      </c>
      <c r="B340" s="4" t="s">
        <v>368</v>
      </c>
      <c r="C340" s="5" t="s">
        <v>31</v>
      </c>
      <c r="D340" s="5" t="s">
        <v>25</v>
      </c>
      <c r="E340" s="8" t="str">
        <f t="shared" si="30"/>
        <v>ui_s1_fight_km_name_shipo</v>
      </c>
      <c r="F340" s="8" t="str">
        <f t="shared" si="31"/>
        <v>ui_s1_fight_card1_tu_shipo</v>
      </c>
      <c r="G340" s="3"/>
      <c r="H340" s="8" t="s">
        <v>478</v>
      </c>
      <c r="I340" s="8" t="str">
        <f t="shared" si="28"/>
        <v>AudioNull</v>
      </c>
      <c r="J340" s="8" t="str">
        <f t="shared" si="29"/>
        <v/>
      </c>
      <c r="Z340"/>
      <c r="AA340"/>
      <c r="AB340"/>
      <c r="AC340"/>
      <c r="AD340"/>
      <c r="AE340"/>
      <c r="AF340"/>
      <c r="AG340"/>
    </row>
    <row r="341" spans="1:33" x14ac:dyDescent="0.3">
      <c r="A341" s="3">
        <v>4114</v>
      </c>
      <c r="B341" s="11" t="s">
        <v>174</v>
      </c>
      <c r="C341" s="5" t="s">
        <v>31</v>
      </c>
      <c r="D341" s="5" t="s">
        <v>28</v>
      </c>
      <c r="E341" s="8" t="str">
        <f t="shared" si="30"/>
        <v>ui_s1_fight_km_shanbi</v>
      </c>
      <c r="F341" s="8" t="str">
        <f t="shared" si="31"/>
        <v>ui_s1_fight_card1_tu_shan</v>
      </c>
      <c r="G341" s="3"/>
      <c r="H341" s="8" t="s">
        <v>174</v>
      </c>
      <c r="I341" s="8" t="str">
        <f t="shared" si="28"/>
        <v>AudioNull</v>
      </c>
      <c r="J341" s="8" t="str">
        <f t="shared" si="29"/>
        <v/>
      </c>
      <c r="Z341"/>
      <c r="AA341"/>
      <c r="AB341"/>
      <c r="AC341"/>
      <c r="AD341"/>
      <c r="AE341"/>
      <c r="AF341"/>
      <c r="AG341"/>
    </row>
    <row r="342" spans="1:33" x14ac:dyDescent="0.3">
      <c r="A342" s="3">
        <v>4115</v>
      </c>
      <c r="B342" s="11" t="s">
        <v>174</v>
      </c>
      <c r="C342" s="5" t="s">
        <v>31</v>
      </c>
      <c r="D342" s="5" t="s">
        <v>31</v>
      </c>
      <c r="E342" s="8" t="str">
        <f t="shared" si="30"/>
        <v>ui_s1_fight_km_shanbi</v>
      </c>
      <c r="F342" s="8" t="str">
        <f t="shared" si="31"/>
        <v>ui_s1_fight_card1_tu_shan</v>
      </c>
      <c r="G342" s="3"/>
      <c r="H342" s="8" t="s">
        <v>174</v>
      </c>
      <c r="I342" s="8" t="str">
        <f t="shared" si="28"/>
        <v>AudioNull</v>
      </c>
      <c r="J342" s="8" t="str">
        <f t="shared" si="29"/>
        <v/>
      </c>
      <c r="Z342"/>
      <c r="AA342"/>
      <c r="AB342"/>
      <c r="AC342"/>
      <c r="AD342"/>
      <c r="AE342"/>
      <c r="AF342"/>
      <c r="AG342"/>
    </row>
    <row r="343" spans="1:33" x14ac:dyDescent="0.3">
      <c r="A343" s="3">
        <v>4116</v>
      </c>
      <c r="B343" s="11" t="s">
        <v>174</v>
      </c>
      <c r="C343" s="5" t="s">
        <v>31</v>
      </c>
      <c r="D343" s="5" t="s">
        <v>33</v>
      </c>
      <c r="E343" s="8" t="str">
        <f t="shared" si="30"/>
        <v>ui_s1_fight_km_shanbi</v>
      </c>
      <c r="F343" s="8" t="str">
        <f t="shared" si="31"/>
        <v>ui_s1_fight_card1_tu_shan</v>
      </c>
      <c r="G343" s="3"/>
      <c r="H343" s="8" t="s">
        <v>174</v>
      </c>
      <c r="I343" s="8" t="str">
        <f t="shared" si="28"/>
        <v>AudioNull</v>
      </c>
      <c r="J343" s="8" t="str">
        <f t="shared" si="29"/>
        <v/>
      </c>
      <c r="Z343"/>
      <c r="AA343"/>
      <c r="AB343"/>
      <c r="AC343"/>
      <c r="AD343"/>
      <c r="AE343"/>
      <c r="AF343"/>
      <c r="AG343"/>
    </row>
    <row r="344" spans="1:33" x14ac:dyDescent="0.3">
      <c r="A344" s="3">
        <v>4117</v>
      </c>
      <c r="B344" s="4" t="s">
        <v>356</v>
      </c>
      <c r="C344" s="5" t="s">
        <v>31</v>
      </c>
      <c r="D344" s="5" t="s">
        <v>39</v>
      </c>
      <c r="E344" s="8" t="str">
        <f t="shared" si="30"/>
        <v>ui_s1_fight_km_name_duoliangjieying</v>
      </c>
      <c r="F344" s="8" t="str">
        <f t="shared" si="31"/>
        <v>ui_s1_fight_card1_tu_jieying</v>
      </c>
      <c r="G344" s="3"/>
      <c r="H344" s="8" t="s">
        <v>479</v>
      </c>
      <c r="I344" s="8" t="str">
        <f t="shared" si="28"/>
        <v>AudioNull</v>
      </c>
      <c r="J344" s="8" t="str">
        <f t="shared" si="29"/>
        <v/>
      </c>
      <c r="N344" s="4"/>
      <c r="O344" s="8"/>
      <c r="R344" s="4"/>
      <c r="S344" s="8"/>
      <c r="X344" s="18"/>
      <c r="Y344" s="4"/>
      <c r="Z344" s="4"/>
      <c r="AA344" s="4"/>
      <c r="AG344"/>
    </row>
    <row r="345" spans="1:33" x14ac:dyDescent="0.3">
      <c r="A345" s="3">
        <v>4118</v>
      </c>
      <c r="B345" s="4" t="s">
        <v>359</v>
      </c>
      <c r="C345" s="5" t="s">
        <v>31</v>
      </c>
      <c r="D345" s="5" t="s">
        <v>46</v>
      </c>
      <c r="E345" s="8" t="str">
        <f t="shared" si="30"/>
        <v>ui_s1_fight_km_name_pozhenxiejia</v>
      </c>
      <c r="F345" s="8" t="str">
        <f t="shared" si="31"/>
        <v>ui_s1_fight_card1_tu_pozhen</v>
      </c>
      <c r="G345" s="3"/>
      <c r="H345" s="8" t="s">
        <v>480</v>
      </c>
      <c r="I345" s="8" t="str">
        <f t="shared" si="28"/>
        <v>AudioNull</v>
      </c>
      <c r="J345" s="8" t="str">
        <f t="shared" si="29"/>
        <v/>
      </c>
      <c r="Z345"/>
      <c r="AA345"/>
      <c r="AB345"/>
      <c r="AC345"/>
      <c r="AD345"/>
      <c r="AE345"/>
      <c r="AF345"/>
      <c r="AG345"/>
    </row>
    <row r="346" spans="1:33" x14ac:dyDescent="0.3">
      <c r="A346" s="3">
        <v>4119</v>
      </c>
      <c r="B346" s="11" t="s">
        <v>174</v>
      </c>
      <c r="C346" s="5" t="s">
        <v>31</v>
      </c>
      <c r="D346" s="5" t="s">
        <v>51</v>
      </c>
      <c r="E346" s="8" t="str">
        <f t="shared" si="30"/>
        <v>ui_s1_fight_km_shanbi</v>
      </c>
      <c r="F346" s="8" t="str">
        <f t="shared" si="31"/>
        <v>ui_s1_fight_card1_tu_shan</v>
      </c>
      <c r="G346" s="3"/>
      <c r="H346" s="8" t="s">
        <v>174</v>
      </c>
      <c r="I346" s="8" t="str">
        <f t="shared" si="28"/>
        <v>AudioNull</v>
      </c>
      <c r="J346" s="8" t="str">
        <f t="shared" si="29"/>
        <v/>
      </c>
      <c r="Z346"/>
      <c r="AA346"/>
      <c r="AB346"/>
      <c r="AC346"/>
      <c r="AD346"/>
      <c r="AE346"/>
      <c r="AF346"/>
      <c r="AG346"/>
    </row>
    <row r="347" spans="1:33" x14ac:dyDescent="0.3">
      <c r="A347" s="3">
        <v>4120</v>
      </c>
      <c r="B347" s="16" t="s">
        <v>128</v>
      </c>
      <c r="C347" s="5" t="s">
        <v>31</v>
      </c>
      <c r="D347" s="5" t="s">
        <v>57</v>
      </c>
      <c r="E347" s="8" t="str">
        <f t="shared" si="30"/>
        <v>ui_s1_fight_km_name_yjp</v>
      </c>
      <c r="F347" s="8" t="str">
        <f t="shared" si="31"/>
        <v>ui_s1_fight_card1_tu_yunjinpao</v>
      </c>
      <c r="G347" s="3"/>
      <c r="H347" s="8" t="s">
        <v>384</v>
      </c>
      <c r="I347" s="8" t="str">
        <f t="shared" si="28"/>
        <v>AudioNull</v>
      </c>
      <c r="J347" s="8" t="str">
        <f t="shared" si="29"/>
        <v>ui_s1_fight_zhuangbei_014_yunjinpao</v>
      </c>
      <c r="Z347"/>
      <c r="AA347"/>
      <c r="AB347"/>
      <c r="AC347"/>
      <c r="AD347"/>
      <c r="AE347"/>
      <c r="AF347"/>
      <c r="AG347"/>
    </row>
    <row r="348" spans="1:33" x14ac:dyDescent="0.3">
      <c r="A348" s="3">
        <v>4121</v>
      </c>
      <c r="B348" s="4" t="s">
        <v>193</v>
      </c>
      <c r="C348" s="5" t="s">
        <v>33</v>
      </c>
      <c r="D348" s="5" t="s">
        <v>25</v>
      </c>
      <c r="E348" s="8" t="str">
        <f t="shared" si="30"/>
        <v>ui_s1_fight_km_name_fyk</v>
      </c>
      <c r="F348" s="8" t="str">
        <f t="shared" si="31"/>
        <v>ui_s1_fight_card1_tu_fengyukui</v>
      </c>
      <c r="G348" s="3"/>
      <c r="H348" s="8" t="s">
        <v>385</v>
      </c>
      <c r="I348" s="8" t="str">
        <f t="shared" si="28"/>
        <v>AudioNull</v>
      </c>
      <c r="J348" s="8" t="str">
        <f t="shared" si="29"/>
        <v>ui_s1_fight_zhuangbei_017_fengyukui</v>
      </c>
      <c r="Z348"/>
      <c r="AA348"/>
      <c r="AB348"/>
      <c r="AC348"/>
      <c r="AD348"/>
      <c r="AE348"/>
      <c r="AF348"/>
      <c r="AG348"/>
    </row>
    <row r="349" spans="1:33" x14ac:dyDescent="0.3">
      <c r="A349" s="3">
        <v>4122</v>
      </c>
      <c r="B349" s="11" t="s">
        <v>378</v>
      </c>
      <c r="C349" s="5" t="s">
        <v>33</v>
      </c>
      <c r="D349" s="5" t="s">
        <v>28</v>
      </c>
      <c r="E349" s="8" t="str">
        <f t="shared" si="30"/>
        <v>ui_s1_fight_km_huoshai</v>
      </c>
      <c r="F349" s="8" t="str">
        <f t="shared" si="31"/>
        <v>ui_s1_fight_card1_tu_sha</v>
      </c>
      <c r="G349" s="3"/>
      <c r="H349" s="8" t="s">
        <v>30</v>
      </c>
      <c r="I349" s="8" t="str">
        <f t="shared" si="28"/>
        <v>AudioNull</v>
      </c>
      <c r="J349" s="8" t="str">
        <f t="shared" si="29"/>
        <v/>
      </c>
      <c r="N349" s="4"/>
      <c r="Z349"/>
      <c r="AA349"/>
      <c r="AB349"/>
      <c r="AC349"/>
      <c r="AD349"/>
      <c r="AE349"/>
      <c r="AF349"/>
      <c r="AG349"/>
    </row>
    <row r="350" spans="1:33" x14ac:dyDescent="0.3">
      <c r="A350" s="3">
        <v>4123</v>
      </c>
      <c r="B350" s="4" t="s">
        <v>200</v>
      </c>
      <c r="C350" s="5" t="s">
        <v>33</v>
      </c>
      <c r="D350" s="5" t="s">
        <v>31</v>
      </c>
      <c r="E350" s="8" t="str">
        <f t="shared" si="30"/>
        <v>ui_s1_fight_km_name_liehuofencheng</v>
      </c>
      <c r="F350" s="8" t="str">
        <f t="shared" si="31"/>
        <v>ui_s1_fight_card1_tu_lhfc</v>
      </c>
      <c r="G350" s="3"/>
      <c r="H350" s="8" t="s">
        <v>386</v>
      </c>
      <c r="I350" s="8" t="str">
        <f t="shared" si="28"/>
        <v>AudioNull</v>
      </c>
      <c r="J350" s="8" t="str">
        <f t="shared" si="29"/>
        <v/>
      </c>
      <c r="Z350"/>
      <c r="AA350"/>
      <c r="AB350"/>
      <c r="AC350"/>
      <c r="AD350"/>
      <c r="AE350"/>
      <c r="AF350"/>
      <c r="AG350"/>
    </row>
    <row r="351" spans="1:33" x14ac:dyDescent="0.3">
      <c r="A351" s="3">
        <v>4124</v>
      </c>
      <c r="B351" s="11" t="s">
        <v>378</v>
      </c>
      <c r="C351" s="5" t="s">
        <v>33</v>
      </c>
      <c r="D351" s="5" t="s">
        <v>33</v>
      </c>
      <c r="E351" s="8" t="str">
        <f t="shared" si="30"/>
        <v>ui_s1_fight_km_huoshai</v>
      </c>
      <c r="F351" s="8" t="str">
        <f t="shared" si="31"/>
        <v>ui_s1_fight_card1_tu_sha</v>
      </c>
      <c r="G351" s="3"/>
      <c r="H351" s="8" t="s">
        <v>30</v>
      </c>
      <c r="I351" s="8" t="str">
        <f t="shared" si="28"/>
        <v>AudioNull</v>
      </c>
      <c r="J351" s="8" t="str">
        <f t="shared" si="29"/>
        <v/>
      </c>
      <c r="N351" s="4"/>
      <c r="Z351"/>
      <c r="AA351"/>
      <c r="AB351"/>
      <c r="AC351"/>
      <c r="AD351"/>
      <c r="AE351"/>
      <c r="AF351"/>
      <c r="AG351"/>
    </row>
    <row r="352" spans="1:33" x14ac:dyDescent="0.3">
      <c r="A352" s="3">
        <v>4125</v>
      </c>
      <c r="B352" s="4" t="s">
        <v>207</v>
      </c>
      <c r="C352" s="5" t="s">
        <v>33</v>
      </c>
      <c r="D352" s="5" t="s">
        <v>39</v>
      </c>
      <c r="E352" s="8" t="str">
        <f t="shared" si="30"/>
        <v>ui_s1_fight_km_name_fhly</v>
      </c>
      <c r="F352" s="8" t="str">
        <f t="shared" si="31"/>
        <v>ui_s1_fight_card1_tu_fhxzh</v>
      </c>
      <c r="G352" s="3"/>
      <c r="H352" s="8" t="s">
        <v>387</v>
      </c>
      <c r="I352" s="8" t="str">
        <f t="shared" si="28"/>
        <v>AudioNull</v>
      </c>
      <c r="J352" s="8" t="str">
        <f t="shared" si="29"/>
        <v/>
      </c>
      <c r="Z352"/>
      <c r="AA352"/>
      <c r="AB352"/>
      <c r="AC352"/>
      <c r="AD352"/>
      <c r="AE352"/>
      <c r="AF352"/>
      <c r="AG352"/>
    </row>
    <row r="353" spans="1:33" x14ac:dyDescent="0.3">
      <c r="A353" s="3">
        <v>4126</v>
      </c>
      <c r="B353" s="11" t="s">
        <v>378</v>
      </c>
      <c r="C353" s="5" t="s">
        <v>33</v>
      </c>
      <c r="D353" s="5" t="s">
        <v>46</v>
      </c>
      <c r="E353" s="8" t="str">
        <f t="shared" si="30"/>
        <v>ui_s1_fight_km_huoshai</v>
      </c>
      <c r="F353" s="8" t="str">
        <f t="shared" si="31"/>
        <v>ui_s1_fight_card1_tu_sha</v>
      </c>
      <c r="G353" s="3"/>
      <c r="H353" s="8" t="s">
        <v>30</v>
      </c>
      <c r="I353" s="8" t="str">
        <f t="shared" si="28"/>
        <v>AudioNull</v>
      </c>
      <c r="J353" s="8" t="str">
        <f t="shared" si="29"/>
        <v/>
      </c>
      <c r="N353" s="4"/>
      <c r="Z353"/>
      <c r="AA353"/>
      <c r="AB353"/>
      <c r="AC353"/>
      <c r="AD353"/>
      <c r="AE353"/>
      <c r="AF353"/>
      <c r="AG353"/>
    </row>
    <row r="354" spans="1:33" x14ac:dyDescent="0.3">
      <c r="A354" s="3">
        <v>4127</v>
      </c>
      <c r="B354" s="11" t="s">
        <v>378</v>
      </c>
      <c r="C354" s="5" t="s">
        <v>33</v>
      </c>
      <c r="D354" s="5" t="s">
        <v>51</v>
      </c>
      <c r="E354" s="8" t="str">
        <f t="shared" si="30"/>
        <v>ui_s1_fight_km_huoshai</v>
      </c>
      <c r="F354" s="8" t="str">
        <f t="shared" si="31"/>
        <v>ui_s1_fight_card1_tu_sha</v>
      </c>
      <c r="G354" s="3"/>
      <c r="H354" s="8" t="s">
        <v>30</v>
      </c>
      <c r="I354" s="8" t="str">
        <f t="shared" si="28"/>
        <v>AudioNull</v>
      </c>
      <c r="J354" s="8" t="str">
        <f t="shared" si="29"/>
        <v/>
      </c>
      <c r="N354" s="4"/>
      <c r="Z354"/>
      <c r="AA354"/>
      <c r="AB354"/>
      <c r="AC354"/>
      <c r="AD354"/>
      <c r="AE354"/>
      <c r="AF354"/>
      <c r="AG354"/>
    </row>
    <row r="355" spans="1:33" x14ac:dyDescent="0.3">
      <c r="A355" s="3">
        <v>4128</v>
      </c>
      <c r="B355" s="11" t="s">
        <v>378</v>
      </c>
      <c r="C355" s="5" t="s">
        <v>33</v>
      </c>
      <c r="D355" s="5" t="s">
        <v>57</v>
      </c>
      <c r="E355" s="8" t="str">
        <f t="shared" si="30"/>
        <v>ui_s1_fight_km_huoshai</v>
      </c>
      <c r="F355" s="8" t="str">
        <f t="shared" si="31"/>
        <v>ui_s1_fight_card1_tu_sha</v>
      </c>
      <c r="G355" s="3"/>
      <c r="H355" s="8" t="s">
        <v>30</v>
      </c>
      <c r="I355" s="8" t="str">
        <f t="shared" si="28"/>
        <v>AudioNull</v>
      </c>
      <c r="J355" s="8" t="str">
        <f t="shared" si="29"/>
        <v/>
      </c>
      <c r="N355" s="4"/>
      <c r="Z355"/>
      <c r="AA355"/>
      <c r="AB355"/>
      <c r="AC355"/>
      <c r="AD355"/>
      <c r="AE355"/>
      <c r="AF355"/>
      <c r="AG355"/>
    </row>
    <row r="356" spans="1:33" x14ac:dyDescent="0.3">
      <c r="A356" s="3">
        <v>4129</v>
      </c>
      <c r="B356" s="11" t="s">
        <v>378</v>
      </c>
      <c r="C356" s="5" t="s">
        <v>33</v>
      </c>
      <c r="D356" s="5" t="s">
        <v>25</v>
      </c>
      <c r="E356" s="8" t="str">
        <f t="shared" si="30"/>
        <v>ui_s1_fight_km_huoshai</v>
      </c>
      <c r="F356" s="8" t="str">
        <f t="shared" si="31"/>
        <v>ui_s1_fight_card1_tu_sha</v>
      </c>
      <c r="G356" s="3"/>
      <c r="H356" s="8" t="s">
        <v>30</v>
      </c>
      <c r="I356" s="8" t="str">
        <f t="shared" si="28"/>
        <v>AudioNull</v>
      </c>
      <c r="J356" s="8" t="str">
        <f t="shared" si="29"/>
        <v/>
      </c>
      <c r="N356" s="4"/>
      <c r="Z356"/>
      <c r="AA356"/>
      <c r="AB356"/>
      <c r="AC356"/>
      <c r="AD356"/>
      <c r="AE356"/>
      <c r="AF356"/>
      <c r="AG356"/>
    </row>
    <row r="357" spans="1:33" x14ac:dyDescent="0.3">
      <c r="A357" s="3">
        <v>4130</v>
      </c>
      <c r="B357" s="11" t="s">
        <v>378</v>
      </c>
      <c r="C357" s="5" t="s">
        <v>33</v>
      </c>
      <c r="D357" s="5" t="s">
        <v>28</v>
      </c>
      <c r="E357" s="8" t="str">
        <f t="shared" si="30"/>
        <v>ui_s1_fight_km_huoshai</v>
      </c>
      <c r="F357" s="8" t="str">
        <f t="shared" si="31"/>
        <v>ui_s1_fight_card1_tu_sha</v>
      </c>
      <c r="G357" s="3"/>
      <c r="H357" s="8" t="s">
        <v>30</v>
      </c>
      <c r="I357" s="8" t="str">
        <f t="shared" ref="I357:I389" si="32">IF(INDEX(U$8:U$111,MATCH($B357,$Q$8:$Q$111,0))=0,"",INDEX(U$8:U$111,MATCH($B357,$Q$8:$Q$111,0)))</f>
        <v>AudioNull</v>
      </c>
      <c r="J357" s="8" t="str">
        <f t="shared" si="29"/>
        <v/>
      </c>
      <c r="N357" s="4"/>
      <c r="Z357"/>
      <c r="AA357"/>
      <c r="AB357"/>
      <c r="AC357"/>
      <c r="AD357"/>
      <c r="AE357"/>
      <c r="AF357"/>
      <c r="AG357"/>
    </row>
    <row r="358" spans="1:33" x14ac:dyDescent="0.3">
      <c r="A358" s="3">
        <v>4131</v>
      </c>
      <c r="B358" s="4" t="s">
        <v>200</v>
      </c>
      <c r="C358" s="5" t="s">
        <v>33</v>
      </c>
      <c r="D358" s="5" t="s">
        <v>31</v>
      </c>
      <c r="E358" s="8" t="str">
        <f t="shared" si="30"/>
        <v>ui_s1_fight_km_name_liehuofencheng</v>
      </c>
      <c r="F358" s="8" t="str">
        <f t="shared" si="31"/>
        <v>ui_s1_fight_card1_tu_lhfc</v>
      </c>
      <c r="G358" s="3"/>
      <c r="H358" s="8" t="s">
        <v>386</v>
      </c>
      <c r="I358" s="8" t="str">
        <f t="shared" si="32"/>
        <v>AudioNull</v>
      </c>
      <c r="J358" s="8" t="str">
        <f t="shared" ref="J358:J389" si="33">IF(INDEX(V$8:V$111,MATCH($B358,$Q$8:$Q$111,0))=0,"",INDEX(V$8:V$111,MATCH($B358,$Q$8:$Q$111,0)))</f>
        <v/>
      </c>
      <c r="Z358"/>
      <c r="AA358"/>
      <c r="AB358"/>
      <c r="AC358"/>
      <c r="AD358"/>
      <c r="AE358"/>
      <c r="AF358"/>
      <c r="AG358"/>
    </row>
    <row r="359" spans="1:33" x14ac:dyDescent="0.3">
      <c r="A359" s="3">
        <v>4132</v>
      </c>
      <c r="B359" s="11" t="s">
        <v>378</v>
      </c>
      <c r="C359" s="5" t="s">
        <v>33</v>
      </c>
      <c r="D359" s="5" t="s">
        <v>33</v>
      </c>
      <c r="E359" s="8" t="str">
        <f t="shared" ref="E359:E389" si="34">IF(INDEX(R$8:R$111,MATCH($B359,$Q$8:$Q$111,0))=0,"",INDEX(R$8:R$111,MATCH($B359,$Q$8:$Q$111,0)))</f>
        <v>ui_s1_fight_km_huoshai</v>
      </c>
      <c r="F359" s="8" t="str">
        <f t="shared" ref="F359:F389" si="35">IF(INDEX(S$8:S$111,MATCH($B359,$Q$8:$Q$111,0))=0,"",INDEX(S$8:S$111,MATCH($B359,$Q$8:$Q$111,0)))</f>
        <v>ui_s1_fight_card1_tu_sha</v>
      </c>
      <c r="G359" s="3"/>
      <c r="H359" s="8" t="s">
        <v>30</v>
      </c>
      <c r="I359" s="8" t="str">
        <f t="shared" si="32"/>
        <v>AudioNull</v>
      </c>
      <c r="J359" s="8" t="str">
        <f t="shared" si="33"/>
        <v/>
      </c>
      <c r="N359" s="4"/>
      <c r="Z359"/>
      <c r="AA359"/>
      <c r="AB359"/>
      <c r="AC359"/>
      <c r="AD359"/>
      <c r="AE359"/>
      <c r="AF359"/>
      <c r="AG359"/>
    </row>
    <row r="360" spans="1:33" x14ac:dyDescent="0.3">
      <c r="A360" s="3">
        <v>4133</v>
      </c>
      <c r="B360" s="4" t="s">
        <v>207</v>
      </c>
      <c r="C360" s="5" t="s">
        <v>33</v>
      </c>
      <c r="D360" s="5" t="s">
        <v>39</v>
      </c>
      <c r="E360" s="8" t="str">
        <f t="shared" si="34"/>
        <v>ui_s1_fight_km_name_fhly</v>
      </c>
      <c r="F360" s="8" t="str">
        <f t="shared" si="35"/>
        <v>ui_s1_fight_card1_tu_fhxzh</v>
      </c>
      <c r="G360" s="3"/>
      <c r="H360" s="8" t="s">
        <v>387</v>
      </c>
      <c r="I360" s="8" t="str">
        <f t="shared" si="32"/>
        <v>AudioNull</v>
      </c>
      <c r="J360" s="8" t="str">
        <f t="shared" si="33"/>
        <v/>
      </c>
      <c r="Z360"/>
      <c r="AA360"/>
      <c r="AB360"/>
      <c r="AC360"/>
      <c r="AD360"/>
      <c r="AE360"/>
      <c r="AF360"/>
      <c r="AG360"/>
    </row>
    <row r="361" spans="1:33" x14ac:dyDescent="0.3">
      <c r="A361" s="3">
        <v>4134</v>
      </c>
      <c r="B361" s="16" t="s">
        <v>144</v>
      </c>
      <c r="C361" s="5" t="s">
        <v>33</v>
      </c>
      <c r="D361" s="5" t="s">
        <v>46</v>
      </c>
      <c r="E361" s="8" t="str">
        <f t="shared" si="34"/>
        <v>ui_s1_fight_km_name_xuanwudun</v>
      </c>
      <c r="F361" s="8" t="str">
        <f t="shared" si="35"/>
        <v>ui_s1_fight_card1_tu_xuanwudun</v>
      </c>
      <c r="G361" s="3"/>
      <c r="H361" s="8" t="s">
        <v>388</v>
      </c>
      <c r="I361" s="8" t="str">
        <f t="shared" si="32"/>
        <v>AudioNull</v>
      </c>
      <c r="J361" s="8" t="str">
        <f t="shared" si="33"/>
        <v>ui_s1_fight_zhuangbei_016_xuanwudun</v>
      </c>
      <c r="Z361"/>
      <c r="AA361"/>
      <c r="AB361"/>
      <c r="AC361"/>
      <c r="AD361"/>
      <c r="AE361"/>
      <c r="AF361"/>
      <c r="AG361"/>
    </row>
    <row r="362" spans="1:33" x14ac:dyDescent="0.3">
      <c r="A362" s="3">
        <v>4135</v>
      </c>
      <c r="B362" s="11" t="s">
        <v>378</v>
      </c>
      <c r="C362" s="5" t="s">
        <v>33</v>
      </c>
      <c r="D362" s="5" t="s">
        <v>51</v>
      </c>
      <c r="E362" s="8" t="str">
        <f t="shared" si="34"/>
        <v>ui_s1_fight_km_huoshai</v>
      </c>
      <c r="F362" s="8" t="str">
        <f t="shared" si="35"/>
        <v>ui_s1_fight_card1_tu_sha</v>
      </c>
      <c r="G362" s="3"/>
      <c r="H362" s="8" t="s">
        <v>30</v>
      </c>
      <c r="I362" s="8" t="str">
        <f t="shared" si="32"/>
        <v>AudioNull</v>
      </c>
      <c r="J362" s="8" t="str">
        <f t="shared" si="33"/>
        <v/>
      </c>
      <c r="N362" s="4"/>
      <c r="Z362"/>
      <c r="AA362"/>
      <c r="AB362"/>
      <c r="AC362"/>
      <c r="AD362"/>
      <c r="AE362"/>
      <c r="AF362"/>
      <c r="AG362"/>
    </row>
    <row r="363" spans="1:33" x14ac:dyDescent="0.3">
      <c r="A363" s="3">
        <v>4136</v>
      </c>
      <c r="B363" s="11" t="s">
        <v>378</v>
      </c>
      <c r="C363" s="5" t="s">
        <v>33</v>
      </c>
      <c r="D363" s="5" t="s">
        <v>57</v>
      </c>
      <c r="E363" s="8" t="str">
        <f t="shared" si="34"/>
        <v>ui_s1_fight_km_huoshai</v>
      </c>
      <c r="F363" s="8" t="str">
        <f t="shared" si="35"/>
        <v>ui_s1_fight_card1_tu_sha</v>
      </c>
      <c r="G363" s="3"/>
      <c r="H363" s="8" t="s">
        <v>30</v>
      </c>
      <c r="I363" s="8" t="str">
        <f t="shared" si="32"/>
        <v>AudioNull</v>
      </c>
      <c r="J363" s="8" t="str">
        <f t="shared" si="33"/>
        <v/>
      </c>
      <c r="N363" s="4"/>
      <c r="Z363"/>
      <c r="AA363"/>
      <c r="AB363"/>
      <c r="AC363"/>
      <c r="AD363"/>
      <c r="AE363"/>
      <c r="AF363"/>
      <c r="AG363"/>
    </row>
    <row r="364" spans="1:33" x14ac:dyDescent="0.3">
      <c r="A364" s="3">
        <v>4137</v>
      </c>
      <c r="B364" s="11" t="s">
        <v>378</v>
      </c>
      <c r="C364" s="5" t="s">
        <v>33</v>
      </c>
      <c r="D364" s="5" t="s">
        <v>25</v>
      </c>
      <c r="E364" s="8" t="str">
        <f t="shared" si="34"/>
        <v>ui_s1_fight_km_huoshai</v>
      </c>
      <c r="F364" s="8" t="str">
        <f t="shared" si="35"/>
        <v>ui_s1_fight_card1_tu_sha</v>
      </c>
      <c r="G364" s="3"/>
      <c r="H364" s="8" t="s">
        <v>30</v>
      </c>
      <c r="I364" s="8" t="str">
        <f t="shared" si="32"/>
        <v>AudioNull</v>
      </c>
      <c r="J364" s="8" t="str">
        <f t="shared" si="33"/>
        <v/>
      </c>
      <c r="N364" s="4"/>
      <c r="Z364"/>
      <c r="AA364"/>
      <c r="AB364"/>
      <c r="AC364"/>
      <c r="AD364"/>
      <c r="AE364"/>
      <c r="AF364"/>
      <c r="AG364"/>
    </row>
    <row r="365" spans="1:33" x14ac:dyDescent="0.3">
      <c r="A365" s="3">
        <v>4138</v>
      </c>
      <c r="B365" s="11" t="s">
        <v>378</v>
      </c>
      <c r="C365" s="5" t="s">
        <v>33</v>
      </c>
      <c r="D365" s="5" t="s">
        <v>28</v>
      </c>
      <c r="E365" s="8" t="str">
        <f t="shared" si="34"/>
        <v>ui_s1_fight_km_huoshai</v>
      </c>
      <c r="F365" s="8" t="str">
        <f t="shared" si="35"/>
        <v>ui_s1_fight_card1_tu_sha</v>
      </c>
      <c r="G365" s="3"/>
      <c r="H365" s="8" t="s">
        <v>30</v>
      </c>
      <c r="I365" s="8" t="str">
        <f t="shared" si="32"/>
        <v>AudioNull</v>
      </c>
      <c r="J365" s="8" t="str">
        <f t="shared" si="33"/>
        <v/>
      </c>
      <c r="N365" s="4"/>
      <c r="Z365"/>
      <c r="AA365"/>
      <c r="AB365"/>
      <c r="AC365"/>
      <c r="AD365"/>
      <c r="AE365"/>
      <c r="AF365"/>
      <c r="AG365"/>
    </row>
    <row r="366" spans="1:33" x14ac:dyDescent="0.3">
      <c r="A366" s="3">
        <v>4139</v>
      </c>
      <c r="B366" s="4" t="s">
        <v>200</v>
      </c>
      <c r="C366" s="5" t="s">
        <v>33</v>
      </c>
      <c r="D366" s="5" t="s">
        <v>31</v>
      </c>
      <c r="E366" s="8" t="str">
        <f t="shared" si="34"/>
        <v>ui_s1_fight_km_name_liehuofencheng</v>
      </c>
      <c r="F366" s="8" t="str">
        <f t="shared" si="35"/>
        <v>ui_s1_fight_card1_tu_lhfc</v>
      </c>
      <c r="G366" s="3"/>
      <c r="H366" s="8" t="s">
        <v>386</v>
      </c>
      <c r="I366" s="8" t="str">
        <f t="shared" si="32"/>
        <v>AudioNull</v>
      </c>
      <c r="J366" s="8" t="str">
        <f t="shared" si="33"/>
        <v/>
      </c>
      <c r="Z366"/>
      <c r="AA366"/>
      <c r="AB366"/>
      <c r="AC366"/>
      <c r="AD366"/>
      <c r="AE366"/>
      <c r="AF366"/>
      <c r="AG366"/>
    </row>
    <row r="367" spans="1:33" x14ac:dyDescent="0.3">
      <c r="A367" s="3">
        <v>4140</v>
      </c>
      <c r="B367" s="11" t="s">
        <v>378</v>
      </c>
      <c r="C367" s="5" t="s">
        <v>33</v>
      </c>
      <c r="D367" s="5" t="s">
        <v>33</v>
      </c>
      <c r="E367" s="8" t="str">
        <f t="shared" si="34"/>
        <v>ui_s1_fight_km_huoshai</v>
      </c>
      <c r="F367" s="8" t="str">
        <f t="shared" si="35"/>
        <v>ui_s1_fight_card1_tu_sha</v>
      </c>
      <c r="G367" s="3"/>
      <c r="H367" s="8" t="s">
        <v>30</v>
      </c>
      <c r="I367" s="8" t="str">
        <f t="shared" si="32"/>
        <v>AudioNull</v>
      </c>
      <c r="J367" s="8" t="str">
        <f t="shared" si="33"/>
        <v/>
      </c>
      <c r="N367" s="4"/>
      <c r="Z367"/>
      <c r="AA367"/>
      <c r="AB367"/>
      <c r="AC367"/>
      <c r="AD367"/>
      <c r="AE367"/>
      <c r="AF367"/>
      <c r="AG367"/>
    </row>
    <row r="368" spans="1:33" x14ac:dyDescent="0.3">
      <c r="A368" s="3">
        <v>4141</v>
      </c>
      <c r="B368" s="4" t="s">
        <v>207</v>
      </c>
      <c r="C368" s="5" t="s">
        <v>33</v>
      </c>
      <c r="D368" s="5" t="s">
        <v>39</v>
      </c>
      <c r="E368" s="8" t="str">
        <f t="shared" si="34"/>
        <v>ui_s1_fight_km_name_fhly</v>
      </c>
      <c r="F368" s="8" t="str">
        <f t="shared" si="35"/>
        <v>ui_s1_fight_card1_tu_fhxzh</v>
      </c>
      <c r="G368" s="3"/>
      <c r="H368" s="8" t="s">
        <v>387</v>
      </c>
      <c r="I368" s="8" t="str">
        <f t="shared" si="32"/>
        <v>AudioNull</v>
      </c>
      <c r="J368" s="8" t="str">
        <f t="shared" si="33"/>
        <v/>
      </c>
      <c r="Z368"/>
      <c r="AA368"/>
      <c r="AB368"/>
      <c r="AC368"/>
      <c r="AD368"/>
      <c r="AE368"/>
      <c r="AF368"/>
      <c r="AG368"/>
    </row>
    <row r="369" spans="1:33" x14ac:dyDescent="0.3">
      <c r="A369" s="3">
        <v>4142</v>
      </c>
      <c r="B369" s="11" t="s">
        <v>378</v>
      </c>
      <c r="C369" s="5" t="s">
        <v>33</v>
      </c>
      <c r="D369" s="5" t="s">
        <v>46</v>
      </c>
      <c r="E369" s="8" t="str">
        <f t="shared" si="34"/>
        <v>ui_s1_fight_km_huoshai</v>
      </c>
      <c r="F369" s="8" t="str">
        <f t="shared" si="35"/>
        <v>ui_s1_fight_card1_tu_sha</v>
      </c>
      <c r="G369" s="3"/>
      <c r="H369" s="8" t="s">
        <v>30</v>
      </c>
      <c r="I369" s="8" t="str">
        <f t="shared" si="32"/>
        <v>AudioNull</v>
      </c>
      <c r="J369" s="8" t="str">
        <f t="shared" si="33"/>
        <v/>
      </c>
      <c r="N369" s="4"/>
      <c r="Z369"/>
      <c r="AA369"/>
      <c r="AB369"/>
      <c r="AC369"/>
      <c r="AD369"/>
      <c r="AE369"/>
      <c r="AF369"/>
      <c r="AG369"/>
    </row>
    <row r="370" spans="1:33" x14ac:dyDescent="0.3">
      <c r="A370" s="3">
        <v>4143</v>
      </c>
      <c r="B370" s="11" t="s">
        <v>378</v>
      </c>
      <c r="C370" s="5" t="s">
        <v>33</v>
      </c>
      <c r="D370" s="5" t="s">
        <v>51</v>
      </c>
      <c r="E370" s="8" t="str">
        <f t="shared" si="34"/>
        <v>ui_s1_fight_km_huoshai</v>
      </c>
      <c r="F370" s="8" t="str">
        <f t="shared" si="35"/>
        <v>ui_s1_fight_card1_tu_sha</v>
      </c>
      <c r="G370" s="3"/>
      <c r="H370" s="8" t="s">
        <v>30</v>
      </c>
      <c r="I370" s="8" t="str">
        <f t="shared" si="32"/>
        <v>AudioNull</v>
      </c>
      <c r="J370" s="8" t="str">
        <f t="shared" si="33"/>
        <v/>
      </c>
      <c r="N370" s="4"/>
      <c r="Z370"/>
      <c r="AA370"/>
      <c r="AB370"/>
      <c r="AC370"/>
      <c r="AD370"/>
      <c r="AE370"/>
      <c r="AF370"/>
      <c r="AG370"/>
    </row>
    <row r="371" spans="1:33" x14ac:dyDescent="0.3">
      <c r="A371" s="3">
        <v>4144</v>
      </c>
      <c r="B371" s="4" t="s">
        <v>214</v>
      </c>
      <c r="C371" s="5" t="s">
        <v>33</v>
      </c>
      <c r="D371" s="5" t="s">
        <v>57</v>
      </c>
      <c r="E371" s="8" t="str">
        <f t="shared" si="34"/>
        <v>ui_s1_fight_km_name_dihuo</v>
      </c>
      <c r="F371" s="8" t="str">
        <f t="shared" si="35"/>
        <v>ui_s1_fight_card1_tu_dihuo</v>
      </c>
      <c r="G371" s="3"/>
      <c r="H371" s="8" t="s">
        <v>389</v>
      </c>
      <c r="I371" s="8" t="str">
        <f t="shared" si="32"/>
        <v>AudioNull</v>
      </c>
      <c r="J371" s="8" t="str">
        <f t="shared" si="33"/>
        <v/>
      </c>
      <c r="N371" s="4"/>
      <c r="R371" s="4"/>
      <c r="Z371"/>
      <c r="AA371"/>
      <c r="AB371"/>
      <c r="AC371"/>
      <c r="AD371"/>
      <c r="AE371"/>
      <c r="AF371"/>
      <c r="AG371"/>
    </row>
    <row r="372" spans="1:33" x14ac:dyDescent="0.3">
      <c r="A372" s="3">
        <v>4145</v>
      </c>
      <c r="B372" s="16" t="s">
        <v>88</v>
      </c>
      <c r="C372" s="5" t="s">
        <v>33</v>
      </c>
      <c r="D372" s="5" t="s">
        <v>25</v>
      </c>
      <c r="E372" s="8" t="str">
        <f t="shared" si="34"/>
        <v>ui_s1_fight_km_name_bgd</v>
      </c>
      <c r="F372" s="8" t="str">
        <f t="shared" si="35"/>
        <v>ui_s1_fight_card1_tu_baguadun</v>
      </c>
      <c r="G372" s="3"/>
      <c r="H372" s="8" t="s">
        <v>390</v>
      </c>
      <c r="I372" s="8" t="str">
        <f t="shared" si="32"/>
        <v>AudioNull</v>
      </c>
      <c r="J372" s="8" t="str">
        <f t="shared" si="33"/>
        <v>ui_s1_fight_zhuangbei_015_baguadun</v>
      </c>
      <c r="Z372" s="4"/>
      <c r="AA372" s="4"/>
      <c r="AB372" s="4"/>
      <c r="AC372" s="4"/>
      <c r="AG372"/>
    </row>
    <row r="373" spans="1:33" x14ac:dyDescent="0.3">
      <c r="A373" s="3">
        <v>4146</v>
      </c>
      <c r="B373" s="11" t="s">
        <v>378</v>
      </c>
      <c r="C373" s="5" t="s">
        <v>33</v>
      </c>
      <c r="D373" s="5" t="s">
        <v>28</v>
      </c>
      <c r="E373" s="8" t="str">
        <f t="shared" si="34"/>
        <v>ui_s1_fight_km_huoshai</v>
      </c>
      <c r="F373" s="8" t="str">
        <f t="shared" si="35"/>
        <v>ui_s1_fight_card1_tu_sha</v>
      </c>
      <c r="G373" s="3"/>
      <c r="H373" s="8" t="s">
        <v>30</v>
      </c>
      <c r="I373" s="8" t="str">
        <f t="shared" si="32"/>
        <v>AudioNull</v>
      </c>
      <c r="J373" s="8" t="str">
        <f t="shared" si="33"/>
        <v/>
      </c>
      <c r="N373" s="4"/>
      <c r="Z373" s="4"/>
      <c r="AA373" s="4"/>
      <c r="AB373" s="4"/>
      <c r="AC373" s="4"/>
    </row>
    <row r="374" spans="1:33" x14ac:dyDescent="0.3">
      <c r="A374" s="3">
        <v>4147</v>
      </c>
      <c r="B374" s="4" t="s">
        <v>218</v>
      </c>
      <c r="C374" s="5" t="s">
        <v>33</v>
      </c>
      <c r="D374" s="5" t="s">
        <v>31</v>
      </c>
      <c r="E374" s="8" t="str">
        <f t="shared" si="34"/>
        <v>ui_s1_fight_km_name_zhuqueyushan</v>
      </c>
      <c r="F374" s="8" t="str">
        <f t="shared" si="35"/>
        <v>ui_s1_fight_card1_tu_zqys</v>
      </c>
      <c r="G374" s="3"/>
      <c r="H374" s="8" t="s">
        <v>391</v>
      </c>
      <c r="I374" s="8" t="str">
        <f t="shared" si="32"/>
        <v>AudioNull</v>
      </c>
      <c r="J374" s="8" t="str">
        <f t="shared" si="33"/>
        <v>ui_s1_fight_zhuangbei_010_yushan</v>
      </c>
      <c r="Z374" s="4"/>
      <c r="AA374" s="4"/>
      <c r="AB374" s="4"/>
      <c r="AC374" s="4"/>
    </row>
    <row r="375" spans="1:33" x14ac:dyDescent="0.3">
      <c r="A375" s="3">
        <v>4148</v>
      </c>
      <c r="B375" s="11" t="s">
        <v>378</v>
      </c>
      <c r="C375" s="5" t="s">
        <v>33</v>
      </c>
      <c r="D375" s="5" t="s">
        <v>33</v>
      </c>
      <c r="E375" s="8" t="str">
        <f t="shared" si="34"/>
        <v>ui_s1_fight_km_huoshai</v>
      </c>
      <c r="F375" s="8" t="str">
        <f t="shared" si="35"/>
        <v>ui_s1_fight_card1_tu_sha</v>
      </c>
      <c r="G375" s="3"/>
      <c r="H375" s="8" t="s">
        <v>30</v>
      </c>
      <c r="I375" s="8" t="str">
        <f t="shared" si="32"/>
        <v>AudioNull</v>
      </c>
      <c r="J375" s="8" t="str">
        <f t="shared" si="33"/>
        <v/>
      </c>
      <c r="N375" s="4"/>
      <c r="Z375" s="4"/>
      <c r="AA375" s="4"/>
      <c r="AB375" s="4"/>
      <c r="AC375" s="4"/>
    </row>
    <row r="376" spans="1:33" x14ac:dyDescent="0.3">
      <c r="A376" s="3">
        <v>4149</v>
      </c>
      <c r="B376" s="16" t="s">
        <v>203</v>
      </c>
      <c r="C376" s="5" t="s">
        <v>33</v>
      </c>
      <c r="D376" s="5" t="s">
        <v>39</v>
      </c>
      <c r="E376" s="8" t="str">
        <f t="shared" si="34"/>
        <v>ui_s1_fight_km_name_chitu</v>
      </c>
      <c r="F376" s="8" t="str">
        <f t="shared" si="35"/>
        <v>ui_s1_fight_card1_tu_ct</v>
      </c>
      <c r="G376" s="3"/>
      <c r="H376" s="8" t="s">
        <v>392</v>
      </c>
      <c r="I376" s="8" t="str">
        <f t="shared" si="32"/>
        <v>AudioNull</v>
      </c>
      <c r="J376" s="8" t="str">
        <f t="shared" si="33"/>
        <v>ui_s1_fight_zhuangbei_020_chitupng</v>
      </c>
      <c r="Z376" s="4"/>
      <c r="AA376" s="4"/>
      <c r="AB376" s="4"/>
      <c r="AC376" s="4"/>
    </row>
    <row r="377" spans="1:33" x14ac:dyDescent="0.3">
      <c r="A377" s="3">
        <v>4150</v>
      </c>
      <c r="B377" s="11" t="s">
        <v>378</v>
      </c>
      <c r="C377" s="5" t="s">
        <v>33</v>
      </c>
      <c r="D377" s="5" t="s">
        <v>46</v>
      </c>
      <c r="E377" s="8" t="str">
        <f t="shared" si="34"/>
        <v>ui_s1_fight_km_huoshai</v>
      </c>
      <c r="F377" s="8" t="str">
        <f t="shared" si="35"/>
        <v>ui_s1_fight_card1_tu_sha</v>
      </c>
      <c r="G377" s="3"/>
      <c r="H377" s="8" t="s">
        <v>30</v>
      </c>
      <c r="I377" s="8" t="str">
        <f t="shared" si="32"/>
        <v>AudioNull</v>
      </c>
      <c r="J377" s="8" t="str">
        <f t="shared" si="33"/>
        <v/>
      </c>
      <c r="N377" s="4"/>
      <c r="Z377" s="4"/>
      <c r="AA377" s="4"/>
      <c r="AB377" s="4"/>
      <c r="AC377" s="4"/>
    </row>
    <row r="378" spans="1:33" x14ac:dyDescent="0.3">
      <c r="A378" s="3">
        <v>4151</v>
      </c>
      <c r="B378" s="11" t="s">
        <v>378</v>
      </c>
      <c r="C378" s="5" t="s">
        <v>33</v>
      </c>
      <c r="D378" s="5" t="s">
        <v>51</v>
      </c>
      <c r="E378" s="8" t="str">
        <f t="shared" si="34"/>
        <v>ui_s1_fight_km_huoshai</v>
      </c>
      <c r="F378" s="8" t="str">
        <f t="shared" si="35"/>
        <v>ui_s1_fight_card1_tu_sha</v>
      </c>
      <c r="G378" s="3"/>
      <c r="H378" s="8" t="s">
        <v>30</v>
      </c>
      <c r="I378" s="8" t="str">
        <f t="shared" si="32"/>
        <v>AudioNull</v>
      </c>
      <c r="J378" s="8" t="str">
        <f t="shared" si="33"/>
        <v/>
      </c>
      <c r="N378" s="4"/>
      <c r="Z378" s="4"/>
      <c r="AA378" s="4"/>
      <c r="AB378" s="4"/>
      <c r="AC378" s="4"/>
    </row>
    <row r="379" spans="1:33" x14ac:dyDescent="0.3">
      <c r="A379" s="3">
        <v>4152</v>
      </c>
      <c r="B379" s="11" t="s">
        <v>378</v>
      </c>
      <c r="C379" s="5" t="s">
        <v>33</v>
      </c>
      <c r="D379" s="5" t="s">
        <v>57</v>
      </c>
      <c r="E379" s="8" t="str">
        <f t="shared" si="34"/>
        <v>ui_s1_fight_km_huoshai</v>
      </c>
      <c r="F379" s="8" t="str">
        <f t="shared" si="35"/>
        <v>ui_s1_fight_card1_tu_sha</v>
      </c>
      <c r="G379" s="3"/>
      <c r="H379" s="8" t="s">
        <v>30</v>
      </c>
      <c r="I379" s="8" t="str">
        <f t="shared" si="32"/>
        <v>AudioNull</v>
      </c>
      <c r="J379" s="8" t="str">
        <f t="shared" si="33"/>
        <v/>
      </c>
      <c r="N379" s="4"/>
      <c r="Z379" s="4"/>
      <c r="AA379" s="4"/>
      <c r="AB379" s="4"/>
      <c r="AC379" s="4"/>
    </row>
    <row r="380" spans="1:33" x14ac:dyDescent="0.3">
      <c r="A380" s="3">
        <v>4153</v>
      </c>
      <c r="B380" s="16" t="s">
        <v>105</v>
      </c>
      <c r="C380" s="5" t="s">
        <v>33</v>
      </c>
      <c r="D380" s="5" t="s">
        <v>25</v>
      </c>
      <c r="E380" s="8" t="str">
        <f t="shared" si="34"/>
        <v>ui_s1_fight_km_name_qlg</v>
      </c>
      <c r="F380" s="8" t="str">
        <f t="shared" si="35"/>
        <v>ui_s1_fight_card1_tu_qilingong</v>
      </c>
      <c r="G380" s="3"/>
      <c r="H380" s="8" t="s">
        <v>393</v>
      </c>
      <c r="I380" s="8" t="str">
        <f t="shared" si="32"/>
        <v>AudioNull</v>
      </c>
      <c r="J380" s="8" t="str">
        <f t="shared" si="33"/>
        <v>ui_s1_fight_zhuangbei_005_longshegong</v>
      </c>
      <c r="Z380" s="4"/>
      <c r="AA380" s="4"/>
      <c r="AB380" s="4"/>
      <c r="AC380" s="4"/>
    </row>
    <row r="381" spans="1:33" x14ac:dyDescent="0.3">
      <c r="A381" s="3">
        <v>4154</v>
      </c>
      <c r="B381" s="11" t="s">
        <v>378</v>
      </c>
      <c r="C381" s="5" t="s">
        <v>33</v>
      </c>
      <c r="D381" s="5" t="s">
        <v>28</v>
      </c>
      <c r="E381" s="8" t="str">
        <f t="shared" si="34"/>
        <v>ui_s1_fight_km_huoshai</v>
      </c>
      <c r="F381" s="8" t="str">
        <f t="shared" si="35"/>
        <v>ui_s1_fight_card1_tu_sha</v>
      </c>
      <c r="G381" s="3"/>
      <c r="H381" s="8" t="s">
        <v>30</v>
      </c>
      <c r="I381" s="8" t="str">
        <f t="shared" si="32"/>
        <v>AudioNull</v>
      </c>
      <c r="J381" s="8" t="str">
        <f t="shared" si="33"/>
        <v/>
      </c>
      <c r="N381" s="4"/>
      <c r="Z381" s="4"/>
      <c r="AA381" s="4"/>
      <c r="AB381" s="4"/>
      <c r="AC381" s="4"/>
    </row>
    <row r="382" spans="1:33" x14ac:dyDescent="0.3">
      <c r="A382" s="3">
        <v>4155</v>
      </c>
      <c r="B382" s="11" t="s">
        <v>378</v>
      </c>
      <c r="C382" s="5" t="s">
        <v>33</v>
      </c>
      <c r="D382" s="5" t="s">
        <v>31</v>
      </c>
      <c r="E382" s="8" t="str">
        <f t="shared" si="34"/>
        <v>ui_s1_fight_km_huoshai</v>
      </c>
      <c r="F382" s="8" t="str">
        <f t="shared" si="35"/>
        <v>ui_s1_fight_card1_tu_sha</v>
      </c>
      <c r="G382" s="3"/>
      <c r="H382" s="8" t="s">
        <v>30</v>
      </c>
      <c r="I382" s="8" t="str">
        <f t="shared" si="32"/>
        <v>AudioNull</v>
      </c>
      <c r="J382" s="8" t="str">
        <f t="shared" si="33"/>
        <v/>
      </c>
      <c r="N382" s="4"/>
      <c r="Z382" s="4"/>
      <c r="AA382" s="4"/>
      <c r="AB382" s="4"/>
      <c r="AC382" s="4"/>
    </row>
    <row r="383" spans="1:33" x14ac:dyDescent="0.3">
      <c r="A383" s="3">
        <v>4156</v>
      </c>
      <c r="B383" s="11" t="s">
        <v>378</v>
      </c>
      <c r="C383" s="5" t="s">
        <v>33</v>
      </c>
      <c r="D383" s="5" t="s">
        <v>33</v>
      </c>
      <c r="E383" s="8" t="str">
        <f t="shared" si="34"/>
        <v>ui_s1_fight_km_huoshai</v>
      </c>
      <c r="F383" s="8" t="str">
        <f t="shared" si="35"/>
        <v>ui_s1_fight_card1_tu_sha</v>
      </c>
      <c r="G383" s="3"/>
      <c r="H383" s="8" t="s">
        <v>30</v>
      </c>
      <c r="I383" s="8" t="str">
        <f t="shared" si="32"/>
        <v>AudioNull</v>
      </c>
      <c r="J383" s="8" t="str">
        <f t="shared" si="33"/>
        <v/>
      </c>
      <c r="N383" s="4"/>
      <c r="Z383" s="4"/>
      <c r="AA383" s="4"/>
      <c r="AB383" s="4"/>
      <c r="AC383" s="4"/>
    </row>
    <row r="384" spans="1:33" x14ac:dyDescent="0.3">
      <c r="A384" s="3">
        <v>4157</v>
      </c>
      <c r="B384" s="11" t="s">
        <v>378</v>
      </c>
      <c r="C384" s="5" t="s">
        <v>33</v>
      </c>
      <c r="D384" s="5" t="s">
        <v>39</v>
      </c>
      <c r="E384" s="8" t="str">
        <f t="shared" si="34"/>
        <v>ui_s1_fight_km_huoshai</v>
      </c>
      <c r="F384" s="8" t="str">
        <f t="shared" si="35"/>
        <v>ui_s1_fight_card1_tu_sha</v>
      </c>
      <c r="G384" s="3"/>
      <c r="H384" s="8" t="s">
        <v>30</v>
      </c>
      <c r="I384" s="8" t="str">
        <f t="shared" si="32"/>
        <v>AudioNull</v>
      </c>
      <c r="J384" s="8" t="str">
        <f t="shared" si="33"/>
        <v/>
      </c>
      <c r="N384" s="4"/>
      <c r="Z384" s="4"/>
      <c r="AA384" s="4"/>
      <c r="AB384" s="4"/>
      <c r="AC384" s="4"/>
    </row>
    <row r="385" spans="1:33" x14ac:dyDescent="0.3">
      <c r="A385" s="3">
        <v>4158</v>
      </c>
      <c r="B385" s="11" t="s">
        <v>378</v>
      </c>
      <c r="C385" s="5" t="s">
        <v>33</v>
      </c>
      <c r="D385" s="5" t="s">
        <v>46</v>
      </c>
      <c r="E385" s="8" t="str">
        <f t="shared" si="34"/>
        <v>ui_s1_fight_km_huoshai</v>
      </c>
      <c r="F385" s="8" t="str">
        <f t="shared" si="35"/>
        <v>ui_s1_fight_card1_tu_sha</v>
      </c>
      <c r="G385" s="3"/>
      <c r="H385" s="8" t="s">
        <v>30</v>
      </c>
      <c r="I385" s="8" t="str">
        <f t="shared" si="32"/>
        <v>AudioNull</v>
      </c>
      <c r="J385" s="8" t="str">
        <f t="shared" si="33"/>
        <v/>
      </c>
      <c r="N385" s="4"/>
      <c r="Z385" s="4"/>
      <c r="AA385" s="4"/>
      <c r="AB385" s="4"/>
      <c r="AC385" s="4"/>
    </row>
    <row r="386" spans="1:33" x14ac:dyDescent="0.3">
      <c r="A386" s="3">
        <v>4159</v>
      </c>
      <c r="B386" s="11" t="s">
        <v>378</v>
      </c>
      <c r="C386" s="5" t="s">
        <v>33</v>
      </c>
      <c r="D386" s="5" t="s">
        <v>51</v>
      </c>
      <c r="E386" s="8" t="str">
        <f t="shared" si="34"/>
        <v>ui_s1_fight_km_huoshai</v>
      </c>
      <c r="F386" s="8" t="str">
        <f t="shared" si="35"/>
        <v>ui_s1_fight_card1_tu_sha</v>
      </c>
      <c r="G386" s="3"/>
      <c r="H386" s="8" t="s">
        <v>30</v>
      </c>
      <c r="I386" s="8" t="str">
        <f t="shared" si="32"/>
        <v>AudioNull</v>
      </c>
      <c r="J386" s="8" t="str">
        <f t="shared" si="33"/>
        <v/>
      </c>
      <c r="N386" s="4"/>
      <c r="Z386"/>
      <c r="AA386"/>
      <c r="AB386"/>
      <c r="AC386"/>
      <c r="AD386"/>
      <c r="AE386"/>
      <c r="AF386"/>
      <c r="AG386"/>
    </row>
    <row r="387" spans="1:33" x14ac:dyDescent="0.3">
      <c r="A387" s="3">
        <v>4160</v>
      </c>
      <c r="B387" s="11" t="s">
        <v>378</v>
      </c>
      <c r="C387" s="5" t="s">
        <v>33</v>
      </c>
      <c r="D387" s="5" t="s">
        <v>57</v>
      </c>
      <c r="E387" s="8" t="str">
        <f t="shared" si="34"/>
        <v>ui_s1_fight_km_huoshai</v>
      </c>
      <c r="F387" s="8" t="str">
        <f t="shared" si="35"/>
        <v>ui_s1_fight_card1_tu_sha</v>
      </c>
      <c r="G387" s="3"/>
      <c r="H387" s="8" t="s">
        <v>30</v>
      </c>
      <c r="I387" s="8" t="str">
        <f t="shared" si="32"/>
        <v>AudioNull</v>
      </c>
      <c r="J387" s="8" t="str">
        <f t="shared" si="33"/>
        <v/>
      </c>
      <c r="N387" s="4"/>
      <c r="Z387" s="4"/>
      <c r="AA387" s="4"/>
      <c r="AB387" s="4"/>
      <c r="AC387" s="4"/>
    </row>
    <row r="388" spans="1:33" x14ac:dyDescent="0.3">
      <c r="A388" s="3">
        <v>4161</v>
      </c>
      <c r="B388" s="4" t="s">
        <v>222</v>
      </c>
      <c r="C388" s="5" t="s">
        <v>39</v>
      </c>
      <c r="D388" s="5" t="s">
        <v>25</v>
      </c>
      <c r="E388" s="8" t="str">
        <f t="shared" si="34"/>
        <v>ui_s1_fight_km_yi</v>
      </c>
      <c r="F388" s="8" t="str">
        <f t="shared" si="35"/>
        <v>ui_s1_fight_card1_tu_yi</v>
      </c>
      <c r="G388" s="3"/>
      <c r="H388" s="8" t="s">
        <v>222</v>
      </c>
      <c r="I388" s="8" t="str">
        <f t="shared" si="32"/>
        <v>AudioNull</v>
      </c>
      <c r="J388" s="8" t="str">
        <f t="shared" si="33"/>
        <v/>
      </c>
      <c r="Z388" s="4"/>
      <c r="AA388" s="4"/>
      <c r="AB388" s="4"/>
      <c r="AC388" s="4"/>
    </row>
    <row r="389" spans="1:33" x14ac:dyDescent="0.3">
      <c r="A389" s="3">
        <v>4162</v>
      </c>
      <c r="B389" s="4" t="s">
        <v>222</v>
      </c>
      <c r="C389" s="5" t="s">
        <v>39</v>
      </c>
      <c r="D389" s="5" t="s">
        <v>57</v>
      </c>
      <c r="E389" s="8" t="str">
        <f t="shared" si="34"/>
        <v>ui_s1_fight_km_yi</v>
      </c>
      <c r="F389" s="8" t="str">
        <f t="shared" si="35"/>
        <v>ui_s1_fight_card1_tu_yi</v>
      </c>
      <c r="G389" s="3"/>
      <c r="H389" s="8" t="s">
        <v>222</v>
      </c>
      <c r="I389" s="8" t="str">
        <f t="shared" si="32"/>
        <v>AudioNull</v>
      </c>
      <c r="J389" s="8" t="str">
        <f t="shared" si="33"/>
        <v/>
      </c>
      <c r="Z389" s="4"/>
      <c r="AA389" s="4"/>
      <c r="AB389" s="4"/>
      <c r="AC389" s="4"/>
    </row>
  </sheetData>
  <autoFilter ref="A1:M389" xr:uid="{00000000-0009-0000-0000-000000000000}"/>
  <phoneticPr fontId="6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手牌表现表|CardUI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陈之光</cp:lastModifiedBy>
  <dcterms:created xsi:type="dcterms:W3CDTF">2015-06-05T18:19:00Z</dcterms:created>
  <dcterms:modified xsi:type="dcterms:W3CDTF">2025-12-12T10:09:27Z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C37A060D162E4142818A66DCD75908CF_12</vt:lpwstr>
  </property>
</Properties>
</file>